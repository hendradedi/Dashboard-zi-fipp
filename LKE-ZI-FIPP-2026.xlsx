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<sst xmlns="http://schemas.openxmlformats.org/spreadsheetml/2006/main" uniqueCount="779">
  <si>
    <t>Penilaian</t>
  </si>
  <si>
    <t>Bobot</t>
  </si>
  <si>
    <t>Penjelasan</t>
  </si>
  <si>
    <t>Pilihan Jawaban</t>
  </si>
  <si>
    <t>Jawaban</t>
  </si>
  <si>
    <t>Nilai</t>
  </si>
  <si>
    <t xml:space="preserve"> %</t>
  </si>
  <si>
    <t>Catatan/Keterangan/Penjelasan</t>
  </si>
  <si>
    <t>Daftar Evidence/Bukti/Dokumen</t>
  </si>
  <si>
    <t>Tautan Bukti Dukung setiap pertanyaan</t>
  </si>
  <si>
    <t>TP PTN/LLDIKTI</t>
  </si>
  <si>
    <t>TPSK</t>
  </si>
  <si>
    <t>TPI</t>
  </si>
  <si>
    <t>A.</t>
  </si>
  <si>
    <t>PENGUNGKIT</t>
  </si>
  <si>
    <t>I.</t>
  </si>
  <si>
    <t>PEMENUHAN</t>
  </si>
  <si>
    <t>MANAJEMEN PERUBAHAN</t>
  </si>
  <si>
    <t>i.</t>
  </si>
  <si>
    <t>Penyusunan Tim Kerja</t>
  </si>
  <si>
    <t>PARENT</t>
  </si>
  <si>
    <t>a.</t>
  </si>
  <si>
    <t>Unit kerja telah membentuk tim untuk melakukan pembangunan Zona Integritas</t>
  </si>
  <si>
    <t>Ya, jika Tim telah dibentuk di dalam unit kerja.</t>
  </si>
  <si>
    <t>Ya/Tidak</t>
  </si>
  <si>
    <t>Ya</t>
  </si>
  <si>
    <t>Fakultas Ilmu Pendidikan dan Psikologi telah membentuk Tim Kerja Pengembangan Zona Integritas yang terdiri atas unsur pimpinan, perwakilan program studi, dan perwakilan tenaga kependidikan. Tim Kerja disahkan dengan menggunakan Surat Tugas Dekan.</t>
  </si>
  <si>
    <t>1. 
Dokumentasi Pembentukan Tim ZI</t>
  </si>
  <si>
    <t>https://inspirasidikti.kemdiktisaintek.go.id/unitku/zona-integritas/2026-2235/dokumen/Dokumentasi Pembentukan Tim ZI?file=2235-universitas-negeri-semarang/171-fakultas-ilmu-pendidikan/1770953282.pdf</t>
  </si>
  <si>
    <t>Unit dapat melengkapi dengan bukti ST TIM ZI 2026</t>
  </si>
  <si>
    <t>b.</t>
  </si>
  <si>
    <t>Penentuan anggota Tim dipilih melalui prosedur/mekanisme yang jelas</t>
  </si>
  <si>
    <t>a. Jika dengan prosedur/mekanisme yang jelas dan mewakili seluruh unsur dalam unit kerja
b. Jika sebagian menggunakan prosedur yang mewakili sebagian besar unsur dalam unit kerja
c. Jika tidak di seleksi.</t>
  </si>
  <si>
    <t>A/B/C</t>
  </si>
  <si>
    <t>A</t>
  </si>
  <si>
    <t>Fakultas Ilmu Pendidikan dan Psikologi telah membentuk Tim Kerja Pengembangan Zona Integritas  melalui prosedur sebagai berikut. Fakultas menyampaikan informasi kepada program studi perihal Pengembangan Zona Integritas, dan meminta setiap program studi mengirimkan dosen yang dinominasikan untuk menjadi anggota (Nominee). Para nominee menandatangani kesannggupan/kesediaan menjadi anggota Tim Kerja. Nominee yang tidak menandatangani kesanggupan dianggap gugur. Selanjutnya nominee diseleksi oleh pimpinan melalui konsultasi dengan Korprodi dalam rapat pimpinan Fakultas dan Korprodi, untuk mendapatkan pertimbangan. Nominee yang disepakati dalam rapat ditetapkan sebagai anggota Tim Kerja dengan Surat Tugas Dekan.</t>
  </si>
  <si>
    <t xml:space="preserve">1. 
Dokumentasi Rapat Seleksi Tim Zona Integritas
2. 
Lembar Kesediaan Tim Kerja ZI
</t>
  </si>
  <si>
    <t xml:space="preserve">1. 
https://inspirasidikti.kemdiktisaintek.go.id/unitku/zona-integritas/2026-2235/dokumen/Dokumentasi Rapat Seleksi Tim Zona Integritas?file=2235-universitas-negeri-semarang/171-fakultas-ilmu-pendidikan/1770953365.pdf
2. 
https://inspirasidikti.kemdiktisaintek.go.id/unitku/zona-integritas/2026-2235/dokumen/Lembar Kesediaan Tim Kerja ZI?file=2235-universitas-negeri-semarang/171-fakultas-ilmu-pendidikan/1770953370.pdf
</t>
  </si>
  <si>
    <t>B</t>
  </si>
  <si>
    <t>Unit dapat melengkapi  dokumen pendukung :
1. Undangan Rapat pembahasan mekanisme penyusunan TIM Zona Integritas
2. Daftar Hadir rapat perumusan mekanisme pembentukan tim ZI
3. Notulen rapat perumusan mekanisme pembentukan tim ZI
4.  Dokumentasi kegiatan rapat perumusan mekanisme pembentukan tim ZI
5. Berita Acara perumusan mekanisme pembentukan tim ZI
6. SOP Pemilihan Tim Zona Integritas</t>
  </si>
  <si>
    <t>ii.</t>
  </si>
  <si>
    <t xml:space="preserve"> Rencana Pembangunan Zona Integritas </t>
  </si>
  <si>
    <t>Terdapat dokumen rencana kerja pembangunan Zona Integritas menuju WBK/WBBM</t>
  </si>
  <si>
    <t>Ya, jika memiliki  rencana kerja pembangunan Zona Integritas.</t>
  </si>
  <si>
    <t>Fakultas Ilmu Pendidikan dan Psikologi  telah  mengembangkan dokumen rencana kerja pembangunan Zona Integritas. Dokumen ini disahkan oleh Dekan.</t>
  </si>
  <si>
    <t>Tidak</t>
  </si>
  <si>
    <t>Unit dapat melengkapi dokumen pendukung berupa:
1. Undangan rapat penyusunan dokumen rencana kerja ZI
2. Daftar hadir rapat penyusunan dokumen rencana kerja ZI
3. Dokumentasi kegiatan rapat penyusunan dokumen rencana kerja ZI
4. Notulen kegiatan rapat penyusunan dokumen rencana kerja ZI
5. Dokumen Rencana Kerja Zona Integritas unit</t>
  </si>
  <si>
    <t>Dalam dokumen pembangunan terdapat target-target prioritas yang relevan dengan tujuan pembangunan WBK/WBBM</t>
  </si>
  <si>
    <t>a. Jika semua target-target prioritas relevan dengan tujuanpembangunan WBK/WBBM
b. Jika sebagian target-target prioritas relevan dengan tujuan pembangunan WBK/WBBM
c. Jika tidak ada target-target prioritas yang relevan dengan tujuan pembangunan WBK/WBBM</t>
  </si>
  <si>
    <t>Dalam dokumen rencana pembangunan Zona Integritas yang disahkan oleh Dekan disajikan target-target prioritas yang relevan dengan tujuan pembangunan WBK.</t>
  </si>
  <si>
    <t>C</t>
  </si>
  <si>
    <t>Dokumen pendukung administrasi Rapat Dokumen Penyusunan Rencana Kerja ZI :
1. Undangan rapat penyusunan dokumen rencana kerja ZI
2. Daftar hadir rapat penyusunan dokumen rencana kerja ZI
3. Dokumentasi kegiatan rapat penyusunan dokumen rencana kerja ZI
4. Notulen kegiatan rapat penyusunan dokumen rencana kerja ZI
5. Dokumen Rencana Kerja Zona Integritas</t>
  </si>
  <si>
    <t>c.</t>
  </si>
  <si>
    <t>Terdapat mekanisme atau media untuk mensosialisasikan pembangunan WBK/WBBM</t>
  </si>
  <si>
    <t>a. Jika telah dilakukan pengelolaan media/aktivitas interaktif yang efektif untuk menginformasikan pembangunan ZI kepada internal dan stakeholder secara berkala
b. Jika pengelolaan media/aktivitas interaktif dilakukan secara terbatas dan tidak secara berkala
c. Jika pengelolaan media/aktivitas interaktif belum dilakukan</t>
  </si>
  <si>
    <t>Fakultas Ilmu Pendidikan dan Psikologi memiliki media untuk mensosialisasikan pembangunan  WBK a.l. berupa akun perangkat TV, Akun Instagram, dan Website Fakultas.</t>
  </si>
  <si>
    <t xml:space="preserve">1. 
DOKUMENTASI KEGIATAN SOSIALISASI KEPADA PEGAWAI PEMBANGUNAN WBK WBBM
2. 
DOKUMENTASI KEGIATAN SOSIALISASI PEMBANGUNAN WBK WBBM DI MEDIA SOSIAL
3. 
DOKUMENTASI SOSIALISASI PEMASANGAN SPANDUK DAN BANNER DI LINGKUNGAN FIPP
4. 
HASIL SURVEI PENILAIAN PEMAHAMAN DAN IMPLEMENTASI ZONA INTEGRITAS
5. 
Maklumat yang dipublikasikan manual di setiap gedung
6. 
Resmi!! FIP UNNES Canangkan Zona Integritas – Fakultas Ilmu Pendidikan dan Psikologi
</t>
  </si>
  <si>
    <t xml:space="preserve">1. 
https://inspirasidikti.kemdiktisaintek.go.id/unitku/zona-integritas/2026-2235/dokumen/DOKUMENTASI KEGIATAN SOSIALISASI KEPADA PEGAWAI PEMBANGUNAN WBK WBBM?file=2235-universitas-negeri-semarang/171-fakultas-ilmu-pendidikan/1770953621.pdf
2. 
https://inspirasidikti.kemdiktisaintek.go.id/unitku/zona-integritas/2026-2235/dokumen/DOKUMENTASI KEGIATAN SOSIALISASI PEMBANGUNAN WBK WBBM DI MEDIA SOSIAL?file=2235-universitas-negeri-semarang/171-fakultas-ilmu-pendidikan/1770953629.pdf
3. 
https://inspirasidikti.kemdiktisaintek.go.id/unitku/zona-integritas/2026-2235/dokumen/DOKUMENTASI SOSIALISASI PEMASANGAN SPANDUK DAN BANNER DI LINGKUNGAN FIPP?file=2235-universitas-negeri-semarang/171-fakultas-ilmu-pendidikan/1770953635.pdf
4. 
https://inspirasidikti.kemdiktisaintek.go.id/unitku/zona-integritas/2026-2235/dokumen/HASIL SURVEI PENILAIAN PEMAHAMAN DAN IMPLEMENTASI ZONA INTEGRITAS?file=2235-universitas-negeri-semarang/171-fakultas-ilmu-pendidikan/1770953642.pdf
5. 
https://inspirasidikti.kemdiktisaintek.go.id/unitku/zona-integritas/2026-2235/dokumen/Maklumat yang dipublikasikan manual di setiap gedung?file=2235-universitas-negeri-semarang/171-fakultas-ilmu-pendidikan/1770953651.pdf
6. 
https://inspirasidikti.kemdiktisaintek.go.id/unitku/zona-integritas/2026-2235/dokumen/Resmi!! FIP UNNES Canangkan Zona Integritas – Fakultas Ilmu Pendidikan dan Psikologi?file=2235-universitas-negeri-semarang/171-fakultas-ilmu-pendidikan/1770953672.pdf
</t>
  </si>
  <si>
    <t>Unit sudah memiliki  media untuk mensosialisasikan pembangunan WBK/WBBM</t>
  </si>
  <si>
    <t>iii.</t>
  </si>
  <si>
    <t>Pemantauan dan Evaluasi Pembangunan WBK/WBBM</t>
  </si>
  <si>
    <t>Seluruh kegiatan pembangunan sudah dilaksanakan sesuai dengan rencana</t>
  </si>
  <si>
    <t>a. Jika semua kegiatan pembangunan telah dilaksanakan sesuai dengan rencana
b. Jika sebagian besar kegiatan pembangunan telah dilaksanakan sesuai dengan rencana
c. Jika sebagian kecil kegiatan pembangunan telah dilaksanakan sesuai dengan rencana
d. Jika belum ada kegiatan pembangunan yang dilakukan sesuai dengan rencana</t>
  </si>
  <si>
    <t>A/B/C/D</t>
  </si>
  <si>
    <t>Sebagian besar kegiatan pembangunan telah dilsaksanakan sesuai rencana.</t>
  </si>
  <si>
    <t xml:space="preserve">1. 
DOKUMENTASI MONEV KEGIATAN PEMBANGUNAN TELAH DILAKSANAKAN SESUAI RENCANA
2. 
LAPORAN PELAKSANAAN RENCANA AKSI WBK WBBM (1)
</t>
  </si>
  <si>
    <t xml:space="preserve">1. 
https://inspirasidikti.kemdiktisaintek.go.id/unitku/zona-integritas/2026-2235/dokumen/DOKUMENTASI MONEV KEGIATAN PEMBANGUNAN TELAH DILAKSANAKAN SESUAI RENCANA?file=2235-universitas-negeri-semarang/171-fakultas-ilmu-pendidikan/1770953758.pdf
2. 
https://inspirasidikti.kemdiktisaintek.go.id/unitku/zona-integritas/2026-2235/dokumen/LAPORAN PELAKSANAAN RENCANA AKSI WBK WBBM (1)?file=2235-universitas-negeri-semarang/171-fakultas-ilmu-pendidikan/1770953759.pdf
</t>
  </si>
  <si>
    <t>Unit sudah melakukan  seluruh kegiatan pembangunan sudah dilaksanakan sesuai dengan rencana</t>
  </si>
  <si>
    <t>Terdapat monitoring dan evaluasi terhadap pembangunan Zona Integritas</t>
  </si>
  <si>
    <t>a. Jika monitoring dan evaluasi melibatkan pimpinan dan dilakukan secara berkala
b. Jika monitoring dan evaluasi melibatkan pimpinan tetapi tidak secara berkala
c. Jika monitoring dan evaluasi tidak melibatkan pimpinan dan tidak secara berkala
d. Jika tidak terdapat monitoring dan evaluasi terhadap pembangunan zona integritas</t>
  </si>
  <si>
    <t>Monitoring evaluasi terhadap pembangunan Zona Integritas belum dilaksanakan secara berkala/periodik, melainkan diintegrasikan dengan kegiatan/pertemuan.</t>
  </si>
  <si>
    <t xml:space="preserve">1. 
DOKUMENTASI KEGIATAN MONEV TERHADAP PEMBANGUNAN ZONA INTEGRITAS ANTARA PIMPINAN DAN PEGAWAI
2. 
HASIL SURVEI PENILAIAN PEMAHAMAN DAN IMPLEMENTASI ZONA INTEGRITAS
</t>
  </si>
  <si>
    <t xml:space="preserve">1. 
https://inspirasidikti.kemdiktisaintek.go.id/unitku/zona-integritas/2026-2235/dokumen/DOKUMENTASI KEGIATAN MONEV TERHADAP PEMBANGUNAN ZONA INTEGRITAS ANTARA PIMPINAN DAN PEGAWAI?file=2235-universitas-negeri-semarang/171-fakultas-ilmu-pendidikan/1770953811.pdf
2. 
https://inspirasidikti.kemdiktisaintek.go.id/unitku/zona-integritas/2026-2235/dokumen/HASIL SURVEI PENILAIAN PEMAHAMAN DAN IMPLEMENTASI ZONA INTEGRITAS?file=2235-universitas-negeri-semarang/171-fakultas-ilmu-pendidikan/1770953819.pdf
</t>
  </si>
  <si>
    <t>Unit sudah melakukan monitoring dan evaluasi terhadap pembangunan Zona Integritas</t>
  </si>
  <si>
    <t>Hasil Monitoring dan Evaluasi telah ditindaklanjuti</t>
  </si>
  <si>
    <t>a. Jika semua catatan/rekomendasi hasil  monitoring dan evaluasi tim internal atas persiapan dan pelaksanaan kegiatan Unit WBK/WBBM telah ditindaklanjuti
b. Jika sebagian besar catatan/rekomendasi hasil monitoring danevaluasi tim internal atas persiapan dan pelaksanaan kegiatanUnit WBK/WBBM telah ditindaklanjuti
c. Jika sebagian kecil catatan/rekomendasi hasil monitoring dan evaluasi tim internal atas persiapan dan pelaksanaan kegiatan Unit WBK/WBBM telah ditindaklanjuti
d. Jika catatan/rekomendasi hasil monitoring dan evaluasi tim internal atas persiapan dan pelaksanaan kegiatan Unit WBK/WBBM belum ditindaklanjuti</t>
  </si>
  <si>
    <t>Sebagian hasil monitoring dan evaluasi telah ditindaklanjuti.</t>
  </si>
  <si>
    <t>1. 
Dokumentasi Monev Pelaksanaan Kegiatan WBK</t>
  </si>
  <si>
    <t>https://inspirasidikti.kemdiktisaintek.go.id/unitku/zona-integritas/2026-2235/dokumen/Dokumentasi Monev Pelaksanaan Kegiatan WBK?file=2235-universitas-negeri-semarang/171-fakultas-ilmu-pendidikan/1770953873.pdf</t>
  </si>
  <si>
    <t>Mohon dilengkapi dokumen yang berisi administrasi tindak lanjut Monev</t>
  </si>
  <si>
    <t>iv.</t>
  </si>
  <si>
    <t xml:space="preserve">Perubahan pola pikir dan budaya kerja </t>
  </si>
  <si>
    <t>Pimpinan berperan sebagai role model dalam pelaksanaan Pembangunan WBK/WBBM</t>
  </si>
  <si>
    <t>ya, jika pimpinan menjadi contoh pelaksanaan nilai-nilai organisasi.</t>
  </si>
  <si>
    <t>Pemimpin berperan sebagai role model, misalnya dengan hadir tepat waktu, dengan menggunakan sistem presensi yang tersedia. Pemimpin juga menjadi role model misalnya dengan menjadi pembina apel pagi yang dilaksanakan sepeken sekali di awal pekan.</t>
  </si>
  <si>
    <t>1. 
Dokumentasi apel pagi yang dipimpin oleh pimpinan Fakultas Ilmu Pendidikan dan Psikologi</t>
  </si>
  <si>
    <t>https://inspirasidikti.kemdiktisaintek.go.id/unitku/zona-integritas/2026-2235/dokumen/Dokumentasi apel pagi yang dipimpin oleh pimpinan Fakultas Ilmu Pendidikan dan Psikologi?file=2235-universitas-negeri-semarang/171-fakultas-ilmu-pendidikan/1770953923.pdf</t>
  </si>
  <si>
    <t>Sudah ditetapkan agen perubahan</t>
  </si>
  <si>
    <t>a. Jika agen perubahan telah ditetapkan dan  berkontribusi terhadap perubahan pada unit kerjanya
b. Jika agen perubahan telah ditetapkan namun belum berkontribusi terhadap perubahan pada unit kerjanya
c. Jika belum terdapat agen perubahan</t>
  </si>
  <si>
    <t>Fakultas Ilmu Pendidikan dan Psikologi telah menetapkan agen perubahan, dan tiap-tiap agen berkontribusi pada perubahan unit kerja.</t>
  </si>
  <si>
    <t xml:space="preserve">1. 
SK AGEN PERUBAHAN
2. 
LAPORAN PENETAPAN AGEN PERUBAHAN
</t>
  </si>
  <si>
    <t xml:space="preserve">1. 
https://inspirasidikti.kemdiktisaintek.go.id/unitku/zona-integritas/2026-2235/dokumen/SK AGEN PERUBAHAN?file=2235-universitas-negeri-semarang/171-fakultas-ilmu-pendidikan/1770954022.pdf
2. 
https://inspirasidikti.kemdiktisaintek.go.id/unitku/zona-integritas/2026-2235/dokumen/LAPORAN PENETAPAN AGEN PERUBAHAN?file=2235-universitas-negeri-semarang/171-fakultas-ilmu-pendidikan/1770954014.pdf
</t>
  </si>
  <si>
    <t>Unit dapat melengkapi dokumen yang berisi laporan, undangan koordinasi, dan kontribusi agen perubahan</t>
  </si>
  <si>
    <t>Telah dibangun budaya kerja dan pola pikir di lingkungan organisasi</t>
  </si>
  <si>
    <t>a. Jika telah dilakukan upaya pembangunan budaya kerja dan pola pikir dan mampu mengurangi resistensi atas perubahan
b. Jika telah dilakukan upaya pembangunan budaya kerja dan pola pikir tapi masih terdapat resistensi atas perubahan
c. Jika belum terdapat upaya pembangunan budaya kerja dan pola pikir</t>
  </si>
  <si>
    <t>Fakultas Ilmu Pendidikan telah berupaya membangun budaya kerja  guna mengurangi resistensi terhadap perubahan. Hal ini ditempuh antara lain dengan memaksimalkan sistem presensi online.</t>
  </si>
  <si>
    <t xml:space="preserve">1. 
Laporan Budaya Kerja di Lingkungan FIPP UNNES
2. 
Presensi Bulan Januari 2025 Dosen PNS
</t>
  </si>
  <si>
    <t xml:space="preserve">1. 
https://inspirasidikti.kemdiktisaintek.go.id/unitku/zona-integritas/2026-2235/dokumen/Laporan Budaya Kerja di Lingkungan FIPP UNNES?file=2235-universitas-negeri-semarang/171-fakultas-ilmu-pendidikan/1770954180.pdf
2. 
https://inspirasidikti.kemdiktisaintek.go.id/unitku/zona-integritas/2026-2235/dokumen/Presensi Bulan Januari 2025 Dosen PNS?file=2235-universitas-negeri-semarang/171-fakultas-ilmu-pendidikan/1770954206.pdf
</t>
  </si>
  <si>
    <t>Unit telah membangun budaya kerja dan pola pikir di lingkungan unit kerja</t>
  </si>
  <si>
    <t>d.</t>
  </si>
  <si>
    <t>Anggota organisasi terlibat dalam pembangunan Zona Integritas menuju WBK/WBBM</t>
  </si>
  <si>
    <t>a. Jika semua anggota terlibat dalam pembangunan Zona Integritas menuju WBK/WBBM dan usulan-usulan dari anggota diakomodasikan dalam keputusan
b. Jika sebagian besar anggota terlibat dalam pembangunan Zona Integritas menuju WBK/WBBM
c. Jika sebagian kecil anggota terlibat dalam pembangunan Zona Integritas menuju WBK/WBBM
d. Jika belum ada anggota terlibat dalam pembangunan Zona Integritas menuju WBK/WBBM</t>
  </si>
  <si>
    <t>Anggota organisasi terlibat dalam pembangunan Zona Integritas menuju WBK. Hal ini antara lain dilaksanakan dengan penyusunan dan penandatanganan pakta integritas pegawai baik unsur pimpinan maupun anggota.</t>
  </si>
  <si>
    <t>1. 
LAPORAN AKHIR HASIL KEGIATAN PEMBANGUNAN ZI DI FIPP UNNES (1)</t>
  </si>
  <si>
    <t>https://inspirasidikti.kemdiktisaintek.go.id/unitku/zona-integritas/2026-2235/dokumen/LAPORAN AKHIR HASIL KEGIATAN PEMBANGUNAN ZI DI FIPP UNNES (1)?file=2235-universitas-negeri-semarang/171-fakultas-ilmu-pendidikan/1770954281.pdf</t>
  </si>
  <si>
    <t>Unit dapat melengkapi dokumen yang  berisi Pakta Integritas Pimpinan,  Laporan Hasil, dan Kegiatan ZI</t>
  </si>
  <si>
    <t>PENATAAN TATALAKSANA</t>
  </si>
  <si>
    <t xml:space="preserve">Prosedur Operasional Tetap (SOP) Kegiatan Utama </t>
  </si>
  <si>
    <t>SOP mengacu pada peta proses bisnis instansi</t>
  </si>
  <si>
    <t>a. Jika semua SOP unit telah mengacu peta proses bisnis dan juga melakukan inovasi yang selaras
b. Jika semua SOP unit telah mengacu peta proses bisnis
c. Jika sebagian SOP unit telah mengacu peta proses bisnis
d. Jika belum terdapat SOP unit yang mengacu peta proses bisnis</t>
  </si>
  <si>
    <t>SOP yang ada di FIPP telah mengacu pada peta proses bisnis instansi.  SOP di FIPP juga melakukan inovasi yang selaras. SOP yang ada di FIPP diturunkan dari SOP/Peta Bisnis Universitas Negeri Semarang, yang juga selaras serta diturunkan dari SOP/Peta Bisnis dari Kemendikbud.
Sedangkan inovasi yang telah dilakukan antara lain adalah pembuatan SOP Laboratorium Terpadu di FIPP (bukti dukung undangan, absensi, notulensi/rilis berta, dan foto kegiatan telah disertakan).
Inovasi lain juga secara khusus nampak dengan adanya SOP Pelayanan Konseling yang dilakukan di prodi BK FIPP, yang telah mengintegrasikan sistem informasi untuk pendaftaran dan administrasi pelayanan  (bukti dukung disertakan SOP Lab BK, Tampilan Layar Sistem Konseling, Flyer Konseling, dan Dokumentasi telah disertakan)</t>
  </si>
  <si>
    <t xml:space="preserve">1. 
SOP Laboratorium Bimbingan dan Konseling
2. 
SOP Akademik Universitas
3. 
salinan_20220302_140248_JDIH_Kepmen 55_O_2022 Probis
4. 
Final Renstra ZI FIPP 16 November 2025_compressed
5. 
Link website Pendaftaran konseling di BK FIPP UNNES telah menggunakan website
6. 
Link berita dengan judul “FIP Kembangkan SOP Pelayanan Laboratorium”
7. 
Flyer dan Contoh Dokumentasi Foto Konseling
8. 
Surat Undangan
9. 
Surat Tugas_ST Pelatihan _Pengelolaan Laboratorium bagi Pranata Laboratorium Pendidikan__2023-10-02 08_55_56 (1)
10. 
Daftar Hadir Laboratorium Terpadu 2024
11. 
Bukti DAFTAR PESERTA WORKHSOP Pengembangan Laboratorium
12. 
SOP LAB TERPADU FIPP UNNES
</t>
  </si>
  <si>
    <t xml:space="preserve">1. 
https://inspirasidikti.kemdiktisaintek.go.id/unitku/zona-integritas/2026-2235/dokumen/SOP Laboratorium Bimbingan dan Konseling?file=2235-universitas-negeri-semarang/171-fakultas-ilmu-pendidikan/1770952057.pdf
2. 
https://inspirasidikti.kemdiktisaintek.go.id/unitku/zona-integritas/2026-2235/dokumen/SOP Akademik Universitas?file=2235-universitas-negeri-semarang/171-fakultas-ilmu-pendidikan/1770952125.pdf
3. 
https://inspirasidikti.kemdiktisaintek.go.id/unitku/zona-integritas/2026-2235/dokumen/salinan_20220302_140248_JDIH_Kepmen 55_O_2022 Probis?file=2235-universitas-negeri-semarang/171-fakultas-ilmu-pendidikan/1770952684.pdf
4. 
https://inspirasidikti.kemdiktisaintek.go.id/unitku/zona-integritas/2026-2235/dokumen/Final Renstra ZI FIPP 16 November 2025_compressed?file=2235-universitas-negeri-semarang/171-fakultas-ilmu-pendidikan/1771518315.pdf
5. 
https://inspirasidikti.kemdiktisaintek.go.id/unitku/zona-integritas/2026-2235/dokumen/Link website Pendaftaran konseling di BK FIPP UNNES telah menggunakan website?file=2235-universitas-negeri-semarang/171-fakultas-ilmu-pendidikan/1770953003.pdf
6. 
https://inspirasidikti.kemdiktisaintek.go.id/unitku/zona-integritas/2026-2235/dokumen/Link berita dengan judul “FIP Kembangkan SOP Pelayanan Laboratorium”?file=2235-universitas-negeri-semarang/171-fakultas-ilmu-pendidikan/1770953054.pdf
7. 
https://inspirasidikti.kemdiktisaintek.go.id/unitku/zona-integritas/2026-2235/dokumen/Flyer dan Contoh Dokumentasi Foto Konseling?file=2235-universitas-negeri-semarang/171-fakultas-ilmu-pendidikan/1770953086.pdf
8. 
https://inspirasidikti.kemdiktisaintek.go.id/unitku/zona-integritas/2026-2235/dokumen/Surat Undangan?file=2235-universitas-negeri-semarang/171-fakultas-ilmu-pendidikan/1771513324.pdf
9. 
https://inspirasidikti.kemdiktisaintek.go.id/unitku/zona-integritas/2026-2235/dokumen/Surat Tugas_ST Pelatihan _Pengelolaan Laboratorium bagi Pranata Laboratorium Pendidikan__2023-10-02 08_55_56 (1)?file=2235-universitas-negeri-semarang/171-fakultas-ilmu-pendidikan/1771513337.pdf
10. 
https://inspirasidikti.kemdiktisaintek.go.id/unitku/zona-integritas/2026-2235/dokumen/Daftar Hadir Laboratorium Terpadu 2024?file=2235-universitas-negeri-semarang/171-fakultas-ilmu-pendidikan/1771513346.pdf
11. 
https://inspirasidikti.kemdiktisaintek.go.id/unitku/zona-integritas/2026-2235/dokumen/Bukti DAFTAR PESERTA WORKHSOP Pengembangan Laboratorium?file=2235-universitas-negeri-semarang/171-fakultas-ilmu-pendidikan/1771513357.pdf
12. 
https://inspirasidikti.kemdiktisaintek.go.id/unitku/zona-integritas/2026-2235/dokumen/SOP LAB TERPADU FIPP UNNES?file=2235-universitas-negeri-semarang/171-fakultas-ilmu-pendidikan/1771513360.pdf
</t>
  </si>
  <si>
    <t>Unit sudah memiliki SOP yang mengacu peta proses bisnis dan juga melakukan inovasi yang selaras</t>
  </si>
  <si>
    <t>Prosedur operasional tetap (SOP) telah diterapkan</t>
  </si>
  <si>
    <t>a. Jika unit telah menerapkan seluruh SOP yang ditetapkan organisasi dan juga melakukan inovasi pada SOP yang diterapkan
b. Jika unit telah menerapkan seluruh SOP yang ditetapkan organisasi
c. Jika unit telah menerapkan sebagian besar SOP yang ditetapkan organisasi
d. Jika unit telah menerapkan sebagian kecil SOP yang ditetapkan organisasi
e. Jika unit belum menerapkan SOP yang telah ditetapkan organisasi</t>
  </si>
  <si>
    <t>A/B/C/D/E</t>
  </si>
  <si>
    <t>Fakultas Ilmu Pendidikan dan seluruh civitasnya telah menerapkan seluruh SOP yang ditetapkan organisasi dan juga melakukan inovasi pada SOP yang diterapkan.
SOP yang diberikan di Universitas, dibuat dalam bentuk bagan dan alur agar dapat dipahami dengan lebih mudah (contoh dapat dilihat pada bukti  Bagan SOP Akademik, alur kerja Top Up Petty Cash, dan SOP Standar Operasional Prosedur) yang dibuat dalam bentuk bagan sehingga mudah dipahami.
SOP Pelayanan Akademik kepada mahasiswa, termasuk pula SOP yang dijadikan inovasi yakni SOP Lab Terpadu, dan SOP Pelayanan Konseling bagi mahasiswa juga telah dilaksanakan dengan optimal. (Sumber bukti dukung Flyer dan dokumentasi foto pelayanan)</t>
  </si>
  <si>
    <t xml:space="preserve">1. 
Bagan sop akademik
2. 
Flyer dan Contoh Dokumentasi Foto Konseling
3. 
Foto Pelayanan Akademik Kepada Mahasiswa Pada Menu Front Desk
4. 
SOP Standar Operasional Prosedur
5. 
SOP Laboratorium Bimbingan dan Konseling
6. 
SOP Akademik Universitas
7. 
Alur Kerja SPPT TOPUP Petty Cash
</t>
  </si>
  <si>
    <t xml:space="preserve">1. 
https://inspirasidikti.kemdiktisaintek.go.id/unitku/zona-integritas/2026-2235/dokumen/Bagan sop akademik?file=2235-universitas-negeri-semarang/171-fakultas-ilmu-pendidikan/1770953937.pdf
2. 
https://inspirasidikti.kemdiktisaintek.go.id/unitku/zona-integritas/2026-2235/dokumen/Flyer dan Contoh Dokumentasi Foto Konseling?file=2235-universitas-negeri-semarang/171-fakultas-ilmu-pendidikan/1770953971.pdf
3. 
https://inspirasidikti.kemdiktisaintek.go.id/unitku/zona-integritas/2026-2235/dokumen/Foto Pelayanan Akademik Kepada Mahasiswa Pada Menu Front Desk?file=2235-universitas-negeri-semarang/171-fakultas-ilmu-pendidikan/1770954012.pdf
4. 
https://inspirasidikti.kemdiktisaintek.go.id/unitku/zona-integritas/2026-2235/dokumen/SOP Standar Operasional Prosedur?file=2235-universitas-negeri-semarang/171-fakultas-ilmu-pendidikan/1770954063.pdf
5. 
https://inspirasidikti.kemdiktisaintek.go.id/unitku/zona-integritas/2026-2235/dokumen/SOP Laboratorium Bimbingan dan Konseling?file=2235-universitas-negeri-semarang/171-fakultas-ilmu-pendidikan/1770954100.pdf
6. 
https://inspirasidikti.kemdiktisaintek.go.id/unitku/zona-integritas/2026-2235/dokumen/SOP Akademik Universitas?file=2235-universitas-negeri-semarang/171-fakultas-ilmu-pendidikan/1770954106.pdf
7. 
https://inspirasidikti.kemdiktisaintek.go.id/unitku/zona-integritas/2026-2235/dokumen/Alur Kerja SPPT TOPUP Petty Cash?file=2235-universitas-negeri-semarang/171-fakultas-ilmu-pendidikan/1770953912.pdf
</t>
  </si>
  <si>
    <t>Unit telah menerapkan seluruh SOP yang ditetapkan organisasi dan juga melakukan inovasi pada SOP yang diterapkan</t>
  </si>
  <si>
    <t>Prosedur operasional tetap (SOP) telah dievaluasi</t>
  </si>
  <si>
    <t>a. Jika seluruh SOP utama telah dievaluasi dan telah ditindaklanjuti berupa perbaikan SOP atau usulan perbaikan SOP
b. Jika sebagian besar SOP utama telah dievaluasi dan telah ditindaklanjuti berupa perbaikan SOP atau usulan perbaikan SOP
c. Jika sebagian besar SOP utama telah dievaluasi tetapi belum ditindaklanjuti
d. Jika sebagian kecil SOP utama telah dievaluasi
e. Jika SOP belum pernah dievaluasi</t>
  </si>
  <si>
    <t>Prosedur dan pelaksanaan SOP telah dievaluasi dan berupa perbaikan SOP atau usulan perbaikan SOP.  Kegiatan ini rutin dilaksanakan di FIPP, baik yang dilaksanakan secara internal di FIPP, maupun melalui mekanisme kontrol dari Universitas  (bukti dukung kegiatan monev SOP dari SPI telah diberikan tanggapan sesuai dengan temuan audit SPI di tahun 2024, hasil simpulan dan laporan AMI FIPP telah dilakukan guna memberikan feedback evaluasi pelayanan secara menyeluruh)
Selain itu untuk melakukan follow up dan perbaikan SOP atau usul perbaikan SOP dilakukan melalui mekanisme rapat yang dilakukan oleh fungsionaris/pengelola prodi, gugus penjaminan mutu, serta pihak terkait (terlampir surat undangan rapat, foto/dokumentasi rapat, serta notulensi hasil rapat). Adapun rapat tersebut menghasilkan usulan perbaikan SOP, secara khusus untuk perbaikan/peningkatan pelayanan akademik di FIPP (bukti dokumentasi dan notulensi hasil rapat)</t>
  </si>
  <si>
    <t xml:space="preserve">1. 
Laporan AMI FIPP 2025
2. 
Laporan AMI FIPP 2023
3. 
Laporan AMI FIPP 2024
4. 
Tindak Lanjut AMI FIPP 2024
5. 
Tindak Lanjut AMI FIPP 2025
6. 
DOKUMENTASI DAN LAPORAN MONEV PELAYANAN AKADEMIK FIPP
7. 
Surat Undangan_undangan evaluasi Standar Operasional Pelayanan Akademik dan Kemahasiswaan FIPP UNNES (1)
8. 
Tanggapan Temuan SPI FIPP UNNES Tahun 2024_compressed_compressed_compressed (1)
9. 
Temuan Audit SPI
10. 
Undangan Monev 1
11. 
Undangan Penutupan AMI 2024
12. 
Penyelesaian TW 3 berttd
13. 
Udangan Closing AMI 2025 Rabu 29 Okt 25 Jam 09.00 FIPP
14. 
Und Finalisasi Laporan Capaian TW IV, Kamis, 18 Des 25 Pukul 09.00 WIB
15. 
Permohonan Monev Awal Perkuliahan Semester Genap (2)
16. 
Dokumentasi Monev Perkuliahan_compressed
17. 
PENGISIAN MONEV PERKULIAHAN
18. 
Laporan Monev
</t>
  </si>
  <si>
    <t xml:space="preserve">1. 
https://inspirasidikti.kemdiktisaintek.go.id/unitku/zona-integritas/2026-2235/dokumen/Laporan AMI FIPP 2025?file=2235-universitas-negeri-semarang/171-fakultas-ilmu-pendidikan/1771513498.pdf
2. 
https://inspirasidikti.kemdiktisaintek.go.id/unitku/zona-integritas/2026-2235/dokumen/Laporan AMI FIPP 2023?file=2235-universitas-negeri-semarang/171-fakultas-ilmu-pendidikan/1770955732.pdf
3. 
https://inspirasidikti.kemdiktisaintek.go.id/unitku/zona-integritas/2026-2235/dokumen/Laporan AMI FIPP 2024?file=2235-universitas-negeri-semarang/171-fakultas-ilmu-pendidikan/1770955736.pdf
4. 
https://inspirasidikti.kemdiktisaintek.go.id/unitku/zona-integritas/2026-2235/dokumen/Tindak Lanjut AMI FIPP 2024?file=2235-universitas-negeri-semarang/171-fakultas-ilmu-pendidikan/1771513517.pdf
5. 
https://inspirasidikti.kemdiktisaintek.go.id/unitku/zona-integritas/2026-2235/dokumen/Tindak Lanjut AMI FIPP 2025?file=2235-universitas-negeri-semarang/171-fakultas-ilmu-pendidikan/1771513536.pdf
6. 
https://inspirasidikti.kemdiktisaintek.go.id/unitku/zona-integritas/2026-2235/dokumen/DOKUMENTASI DAN LAPORAN MONEV PELAYANAN AKADEMIK FIPP?file=2235-universitas-negeri-semarang/171-fakultas-ilmu-pendidikan/1771513565.pdf
7. 
https://inspirasidikti.kemdiktisaintek.go.id/unitku/zona-integritas/2026-2235/dokumen/Surat Undangan_undangan evaluasi Standar Operasional Pelayanan Akademik dan Kemahasiswaan FIPP UNNES (1)?file=2235-universitas-negeri-semarang/171-fakultas-ilmu-pendidikan/1771513662.pdf
8. 
https://inspirasidikti.kemdiktisaintek.go.id/unitku/zona-integritas/2026-2235/dokumen/Tanggapan Temuan SPI FIPP UNNES Tahun 2024_compressed_compressed_compressed (1)?file=2235-universitas-negeri-semarang/171-fakultas-ilmu-pendidikan/1771513666.pdf
9. 
https://inspirasidikti.kemdiktisaintek.go.id/unitku/zona-integritas/2026-2235/dokumen/Temuan Audit SPI?file=2235-universitas-negeri-semarang/171-fakultas-ilmu-pendidikan/1771513670.pdf
10. 
https://inspirasidikti.kemdiktisaintek.go.id/unitku/zona-integritas/2026-2235/dokumen/Undangan Monev 1?file=2235-universitas-negeri-semarang/171-fakultas-ilmu-pendidikan/1771513671.pdf
11. 
https://inspirasidikti.kemdiktisaintek.go.id/unitku/zona-integritas/2026-2235/dokumen/Undangan Penutupan AMI 2024?file=2235-universitas-negeri-semarang/171-fakultas-ilmu-pendidikan/1771513674.pdf
12. 
https://inspirasidikti.kemdiktisaintek.go.id/unitku/zona-integritas/2026-2235/dokumen/Penyelesaian TW 3 berttd?file=2235-universitas-negeri-semarang/171-fakultas-ilmu-pendidikan/1771513991.pdf
13. 
https://inspirasidikti.kemdiktisaintek.go.id/unitku/zona-integritas/2026-2235/dokumen/Udangan Closing AMI 2025 Rabu 29 Okt 25 Jam 09.00 FIPP?file=2235-universitas-negeri-semarang/171-fakultas-ilmu-pendidikan/1771514000.pdf
14. 
https://inspirasidikti.kemdiktisaintek.go.id/unitku/zona-integritas/2026-2235/dokumen/Und Finalisasi Laporan Capaian TW IV, Kamis, 18 Des 25 Pukul 09.00 WIB?file=2235-universitas-negeri-semarang/171-fakultas-ilmu-pendidikan/1771514007.pdf
15. 
https://inspirasidikti.kemdiktisaintek.go.id/unitku/zona-integritas/2026-2235/dokumen/Permohonan Monev Awal Perkuliahan Semester Genap (2)?file=2235-universitas-negeri-semarang/171-fakultas-ilmu-pendidikan/1771514016.pdf
16. 
https://inspirasidikti.kemdiktisaintek.go.id/unitku/zona-integritas/2026-2235/dokumen/Dokumentasi Monev Perkuliahan_compressed?file=2235-universitas-negeri-semarang/171-fakultas-ilmu-pendidikan/1771514388.pdf
17. 
https://inspirasidikti.kemdiktisaintek.go.id/unitku/zona-integritas/2026-2235/dokumen/PENGISIAN MONEV PERKULIAHAN?file=2235-universitas-negeri-semarang/171-fakultas-ilmu-pendidikan/1771514741.pdf
18. 
https://inspirasidikti.kemdiktisaintek.go.id/unitku/zona-integritas/2026-2235/dokumen/Laporan Monev?file=2235-universitas-negeri-semarang/171-fakultas-ilmu-pendidikan/1771514815.pdf
</t>
  </si>
  <si>
    <t>Unit telah memiliki SOP utama telah dievaluasi dan telah ditindaklanjuti berupa perbaikan SOP atau usulan perbaikan SOP</t>
  </si>
  <si>
    <t>Sistem Pemerintahan Berbasis Elektronik (SPBE)</t>
  </si>
  <si>
    <t>Sistem pengukuran kinerja unit sudah menggunakan teknologi informasi</t>
  </si>
  <si>
    <t>a. Jika unit memiliki sistem pengukuran kinerja (e-performance/e-sakip) yang menggunakan teknologi informasi dan juga melakukan inovasi
b. Jika unit memiliki sistem pengukuran kinerja (e-performance/e-sakip) yang menggunakan teknologi informasi
c. Jika belum memiliki sistem pengukuran kinerja (e-performance/e-sakip) yang menggunakan teknologi informasi</t>
  </si>
  <si>
    <t>FIPP UNNES sudah memiliki sistem pengukuran kinerja (e-performance/e-sakip) yang menggunakan teknologi informasi berupa Apps UNNES (SIKADU) yang mampu mendukung pengelolaan satker. Sistem ini selalu dilakukan inovasi guna menjawab kebutuhan, dan setiap dilakukannya inovasi akan ada panduan untuk versi terbaru yang di share pada seluruh civitas FIPP UNNES.</t>
  </si>
  <si>
    <t xml:space="preserve">1. 
Melakukan Inovasi Sistem 1
2. 
Melakukan Inovasi Sistem 2
3. 
Monev TW3_Analisis Capaian IKU_WR4_160624
4. 
Panduan Mengisi Sasaran Kinerja Pegawai di My-Kepegawaian (1)-3
5. 
Panduan MyUnnes-2
6. 
Panduan SIKADU 2
7. 
Pengisian SKP 2025
8. 
Peraturan_37 Tahun 2023 Sistem Remunerasi UNNES
9. 
Sistem Anggaran
10. 
Sistem Pengukuran Kinerja Satker dan Monev Indikator Kinerja Utama menggunakan Aplikasi UNNES Satu Data
11. 
Undangan Analisis Capaian IKU
</t>
  </si>
  <si>
    <t xml:space="preserve">1. 
https://inspirasidikti.kemdiktisaintek.go.id/unitku/zona-integritas/2026-2235/dokumen/Melakukan Inovasi Sistem 1?file=2235-universitas-negeri-semarang/171-fakultas-ilmu-pendidikan/1771515221.pdf
2. 
https://inspirasidikti.kemdiktisaintek.go.id/unitku/zona-integritas/2026-2235/dokumen/Melakukan Inovasi Sistem 2?file=2235-universitas-negeri-semarang/171-fakultas-ilmu-pendidikan/1771515224.pdf
3. 
https://inspirasidikti.kemdiktisaintek.go.id/unitku/zona-integritas/2026-2235/dokumen/Monev TW3_Analisis Capaian IKU_WR4_160624?file=2235-universitas-negeri-semarang/171-fakultas-ilmu-pendidikan/1771515227.pdf
4. 
https://inspirasidikti.kemdiktisaintek.go.id/unitku/zona-integritas/2026-2235/dokumen/Panduan Mengisi Sasaran Kinerja Pegawai di My-Kepegawaian (1)-3?file=2235-universitas-negeri-semarang/171-fakultas-ilmu-pendidikan/1771515229.pdf
5. 
https://inspirasidikti.kemdiktisaintek.go.id/unitku/zona-integritas/2026-2235/dokumen/Panduan MyUnnes-2?file=2235-universitas-negeri-semarang/171-fakultas-ilmu-pendidikan/1771515232.pdf
6. 
https://inspirasidikti.kemdiktisaintek.go.id/unitku/zona-integritas/2026-2235/dokumen/Panduan SIKADU 2?file=2235-universitas-negeri-semarang/171-fakultas-ilmu-pendidikan/1771515236.pdf
7. 
https://inspirasidikti.kemdiktisaintek.go.id/unitku/zona-integritas/2026-2235/dokumen/Pengisian SKP 2025?file=2235-universitas-negeri-semarang/171-fakultas-ilmu-pendidikan/1771515238.pdf
8. 
https://inspirasidikti.kemdiktisaintek.go.id/unitku/zona-integritas/2026-2235/dokumen/Peraturan_37 Tahun 2023 Sistem Remunerasi UNNES?file=2235-universitas-negeri-semarang/171-fakultas-ilmu-pendidikan/1771515243.pdf
9. 
https://inspirasidikti.kemdiktisaintek.go.id/unitku/zona-integritas/2026-2235/dokumen/Sistem Anggaran?file=2235-universitas-negeri-semarang/171-fakultas-ilmu-pendidikan/1771515247.pdf
10. 
https://inspirasidikti.kemdiktisaintek.go.id/unitku/zona-integritas/2026-2235/dokumen/Sistem Pengukuran Kinerja Satker dan Monev Indikator Kinerja Utama menggunakan Aplikasi UNNES Satu Data?file=2235-universitas-negeri-semarang/171-fakultas-ilmu-pendidikan/1771515250.pdf
11. 
https://inspirasidikti.kemdiktisaintek.go.id/unitku/zona-integritas/2026-2235/dokumen/Undangan Analisis Capaian IKU?file=2235-universitas-negeri-semarang/171-fakultas-ilmu-pendidikan/1771515253.pdf
</t>
  </si>
  <si>
    <t>Unit sudah memiliki sistem pengukuran kinerja unit sudah menggunakan teknologi informasi</t>
  </si>
  <si>
    <t>Operasionalisasi manajemen SDM sudah menggunakan teknologi informasi</t>
  </si>
  <si>
    <t>a. Jika unit memiliki operasionalisasi manajemen SDM yang menggunakan teknologi informasi dan juga melakukan inovasi
b. Jika unit memiliki operasionalisasi manajemen SDM yang menggunakan teknologi informasi secara terpusat
c. Jika belum menggunakan teknologi informasi dalam operasionalisasi manajemen SDM</t>
  </si>
  <si>
    <t>FIPP UNNES sudah memiliki sistem pengukuran kinerja (e-performance/e-sakip) yang menggunakan teknologi informasi berupa Apps UNNES (SIKADU, MyUNNES-Kepegawaian, dan lainnya) yang mampu mendukung pengelolaan kinerja pegawai dan memudahkan. Seleksi calon pegawai UNNES pun menggunakan sistem rekruitment. Kemudian, baik data kepegawaian, pengelolaan kinerja pegawai, presensi sampai dengan penggajian pegawai semua termuat dalam sistem. Sistem ini selalu dilakukan inovasi guna menjawab kebutuhan dan memudahkan pegawai. Setiap dilakukannya inovasi akan ada pembekalan pegawai yang biasanya diadakan secara luring.</t>
  </si>
  <si>
    <t xml:space="preserve">1. 
Data dan Dokumentasi Presensi Pegawai
2. 
Dokumentasi Pembekalan Pegawai
3. 
Melakukan Inovasi Sistem untuk Manajemen SDM
4. 
Pengumuman Hasil Seleksi CPNS 2024
5. 
Pengumuman Seleksi CPNS 2023
6. 
Seleksi calon pegawai UNNES menggunakan Sistem Rekruitment-2_compressed
7. 
Sistem Dashboard Utama Aplikasi Kepegawaian (MyUNNES-Kepegawaian)
8. 
Sistem Data Kepegawaian Individu
9. 
Sistem Pengelolaan Kinerja Pegawai
10. 
Sistem Penggajian dan Tunjangan Pegawai
11. 
Undangan Pembagian SK CPNS 2024
12. 
Undangan Pembekalan Pegawai
13. 
pengumuman pegawai tidak tetap unnes 2026
</t>
  </si>
  <si>
    <t xml:space="preserve">1. 
https://inspirasidikti.kemdiktisaintek.go.id/unitku/zona-integritas/2026-2235/dokumen/Data dan Dokumentasi Presensi Pegawai?file=2235-universitas-negeri-semarang/171-fakultas-ilmu-pendidikan/1771515517.pdf
2. 
https://inspirasidikti.kemdiktisaintek.go.id/unitku/zona-integritas/2026-2235/dokumen/Dokumentasi Pembekalan Pegawai?file=2235-universitas-negeri-semarang/171-fakultas-ilmu-pendidikan/1771515522.pdf
3. 
https://inspirasidikti.kemdiktisaintek.go.id/unitku/zona-integritas/2026-2235/dokumen/Melakukan Inovasi Sistem untuk Manajemen SDM?file=2235-universitas-negeri-semarang/171-fakultas-ilmu-pendidikan/1771515527.pdf
4. 
https://inspirasidikti.kemdiktisaintek.go.id/unitku/zona-integritas/2026-2235/dokumen/Pengumuman Hasil Seleksi CPNS 2024?file=2235-universitas-negeri-semarang/171-fakultas-ilmu-pendidikan/1771515531.pdf
5. 
https://inspirasidikti.kemdiktisaintek.go.id/unitku/zona-integritas/2026-2235/dokumen/Pengumuman Seleksi CPNS 2023?file=2235-universitas-negeri-semarang/171-fakultas-ilmu-pendidikan/1771515536.pdf
6. 
https://inspirasidikti.kemdiktisaintek.go.id/unitku/zona-integritas/2026-2235/dokumen/Seleksi calon pegawai UNNES menggunakan Sistem Rekruitment-2_compressed?file=2235-universitas-negeri-semarang/171-fakultas-ilmu-pendidikan/1771515537.pdf
7. 
https://inspirasidikti.kemdiktisaintek.go.id/unitku/zona-integritas/2026-2235/dokumen/Sistem Dashboard Utama Aplikasi Kepegawaian (MyUNNES-Kepegawaian)?file=2235-universitas-negeri-semarang/171-fakultas-ilmu-pendidikan/1771515547.pdf
8. 
https://inspirasidikti.kemdiktisaintek.go.id/unitku/zona-integritas/2026-2235/dokumen/Sistem Data Kepegawaian Individu?file=2235-universitas-negeri-semarang/171-fakultas-ilmu-pendidikan/1771515551.pdf
9. 
https://inspirasidikti.kemdiktisaintek.go.id/unitku/zona-integritas/2026-2235/dokumen/Sistem Pengelolaan Kinerja Pegawai?file=2235-universitas-negeri-semarang/171-fakultas-ilmu-pendidikan/1771515557.pdf
10. 
https://inspirasidikti.kemdiktisaintek.go.id/unitku/zona-integritas/2026-2235/dokumen/Sistem Penggajian dan Tunjangan Pegawai?file=2235-universitas-negeri-semarang/171-fakultas-ilmu-pendidikan/1771515566.pdf
11. 
https://inspirasidikti.kemdiktisaintek.go.id/unitku/zona-integritas/2026-2235/dokumen/Undangan Pembagian SK CPNS 2024?file=2235-universitas-negeri-semarang/171-fakultas-ilmu-pendidikan/1771515569.pdf
12. 
https://inspirasidikti.kemdiktisaintek.go.id/unitku/zona-integritas/2026-2235/dokumen/Undangan Pembekalan Pegawai?file=2235-universitas-negeri-semarang/171-fakultas-ilmu-pendidikan/1771515572.pdf
13. 
https://inspirasidikti.kemdiktisaintek.go.id/unitku/zona-integritas/2026-2235/dokumen/pengumuman pegawai tidak tetap unnes 2026?file=2235-universitas-negeri-semarang/171-fakultas-ilmu-pendidikan/1771515613.pdf
</t>
  </si>
  <si>
    <t>Unit memiliki operasionalisasi manajemen SDM yang menggunakan teknologi informasi dan juga melakukan inovasi</t>
  </si>
  <si>
    <t>Pemberian pelayanan kepada publik sudah menggunakan teknologi informasi</t>
  </si>
  <si>
    <t>a. Jika unit memberikan pelayanan kepada publik dengan menggunakan teknologi informasi terpusat/unit sendiri dan terdapat inovasi
b. Jika unit memberikan pelayanan kepada publik dengan menggunakan teknologi informasi secara terpusat
c. Jika belum memberikan pelayanan kepada publik dengan menggunakan teknologi informasi</t>
  </si>
  <si>
    <t>FIPP UNNES selalu berusaha untuk memberikan pelayanan terbaik kepada publik melalui penggunaan teknologi informasi yang memudahkan publik untuk mengaksesnya. Dimulai dari website FIPP yang terintegrasi dengan website UNNES, kemudian email, akun media sosial seperti instagram. Publik bisa mengaksesnya dengan fleksibel dan mudah, selain informasi yang didapatkan lengkap, juga pelayanan yang cepat. Contohnya ALT UNNES, atau question box instagram yang memudahkan publik untuk pertanya. Bahkan ALT UNNES sendiri selalu melakukan inovasi sehingga pelayanannya cepat.</t>
  </si>
  <si>
    <t xml:space="preserve">1. 
Buku Saku Mahasiswa
2. 
Email FIPP UNNES
3. 
Inovasi Sistem Pelayanan Publik
4. 
Instagram FIPP UNNES
5. 
Keputusan Rektor Standar Layanan
6. 
Layanan Publik Website UNNES
7. 
Panduan SIKADU 2
8. 
Pelayanan Informasi kepada Publik
9. 
Pengumuman Pengembangan Fitur Baru
10. 
Website FIPP UNNES
11. 
Website UNNES
</t>
  </si>
  <si>
    <t xml:space="preserve">1. 
https://inspirasidikti.kemdiktisaintek.go.id/unitku/zona-integritas/2026-2235/dokumen/Buku Saku Mahasiswa?file=2235-universitas-negeri-semarang/171-fakultas-ilmu-pendidikan/1771515779.pdf
2. 
https://inspirasidikti.kemdiktisaintek.go.id/unitku/zona-integritas/2026-2235/dokumen/Email FIPP UNNES?file=2235-universitas-negeri-semarang/171-fakultas-ilmu-pendidikan/1771515783.pdf
3. 
https://inspirasidikti.kemdiktisaintek.go.id/unitku/zona-integritas/2026-2235/dokumen/Inovasi Sistem Pelayanan Publik?file=2235-universitas-negeri-semarang/171-fakultas-ilmu-pendidikan/1771515786.pdf
4. 
https://inspirasidikti.kemdiktisaintek.go.id/unitku/zona-integritas/2026-2235/dokumen/Instagram FIPP UNNES?file=2235-universitas-negeri-semarang/171-fakultas-ilmu-pendidikan/1771515789.pdf
5. 
https://inspirasidikti.kemdiktisaintek.go.id/unitku/zona-integritas/2026-2235/dokumen/Keputusan Rektor Standar Layanan?file=2235-universitas-negeri-semarang/171-fakultas-ilmu-pendidikan/1771515794.pdf
6. 
https://inspirasidikti.kemdiktisaintek.go.id/unitku/zona-integritas/2026-2235/dokumen/Layanan Publik Website UNNES?file=2235-universitas-negeri-semarang/171-fakultas-ilmu-pendidikan/1771515796.pdf
7. 
https://inspirasidikti.kemdiktisaintek.go.id/unitku/zona-integritas/2026-2235/dokumen/Panduan SIKADU 2?file=2235-universitas-negeri-semarang/171-fakultas-ilmu-pendidikan/1771515800.pdf
8. 
https://inspirasidikti.kemdiktisaintek.go.id/unitku/zona-integritas/2026-2235/dokumen/Pelayanan Informasi kepada Publik?file=2235-universitas-negeri-semarang/171-fakultas-ilmu-pendidikan/1771515805.pdf
9. 
https://inspirasidikti.kemdiktisaintek.go.id/unitku/zona-integritas/2026-2235/dokumen/Pengumuman Pengembangan Fitur Baru?file=2235-universitas-negeri-semarang/171-fakultas-ilmu-pendidikan/1771515806.pdf
10. 
https://inspirasidikti.kemdiktisaintek.go.id/unitku/zona-integritas/2026-2235/dokumen/Website FIPP UNNES?file=2235-universitas-negeri-semarang/171-fakultas-ilmu-pendidikan/1771515808.pdf
11. 
https://inspirasidikti.kemdiktisaintek.go.id/unitku/zona-integritas/2026-2235/dokumen/Website UNNES?file=2235-universitas-negeri-semarang/171-fakultas-ilmu-pendidikan/1771515811.pdf
</t>
  </si>
  <si>
    <t>Unit sudah memberikan pelayanan kepada publik dengan menggunakan teknologi informasi terpusat/unit sendiri dan terdapat inovasi</t>
  </si>
  <si>
    <t>d</t>
  </si>
  <si>
    <t>Telah dilakukan monitoring dan dan evaluasi terhadap pemanfaatan teknologi informasi dalam pengukuran kinerja unit, operasionalisasi SDM, dan pemberian layanan kepada publik</t>
  </si>
  <si>
    <t>a. Jika laporan monitoring dan evaluasi terhadap pemanfaatan teknologi informasi dalam pengukuran kinerja unit, operasionalisasi SDM, dan pemberian layanan kepada publik sudah dilakukan secara berkala
b. Jika laporan monitoring dan evaluasi terhadap pemanfaatan teknologi informasi dalam pengukuran kinerja unit, operasionalisasi SDM, dan pemberian layanan kepada publik sudah dilakukan tetapi tidak secara berkala
c. Jika tidak terdapat monitoring dan evaluasi terhadap pemanfaatan teknologi informasi dalam pengukuran kinerja unit, operasionalisasi SDM, dan pemberian layanan kepada publik</t>
  </si>
  <si>
    <t>Monitoring dan evaluasi telah dilakukan oleh FIPP UNNES secara berkala: Triwulan I, II, III, IV. Hal ini dibuktikan dengan hasil rapat berupa notulensi, daftar hadir dan dokuments kegiatan. Khususnya monitoring ini berkaitan dengan pemanfaatan teknologi informasi dalam pengukuran kinerja unit, operasionalisasi SDM, dan pemberian layanan kepada publik. Selain itu, dari tiap pelaksanaan monev terdapat administrasi berupa laporan monev.</t>
  </si>
  <si>
    <t xml:space="preserve">1. 
EDARAN MONEV TW III 2024
2. 
Daftar Hadir (1)
3. 
Daftar Hadir Monev
4. 
Foto Rapat Monev
5. 
Laporan Dampak Implementasi SPBE Terintegrasi FIPP
6. 
Laporan Monev Awal Perkuliahan Genap 2425
7. 
Laporan Monev Triwulan I
8. 
Laporan Monev Triwulan II
9. 
Laporan Monev Triwulan III
10. 
Laporan Monev Triwulan IV
11. 
Monev TW3_Analisis Capaian IKU_WR4_160624
12. 
Monitoring dan Evaluaso
13. 
Notulensi Rapat Monev Triwulan I
14. 
Notulensi Rapat Monev Triwulan II
15. 
Notulensi Rapat Monev Triwulan III
16. 
Notulensi Rapat Monev Triwulan IV
17. 
Undangan Monev 1
18. 
Undangan Monev 2
19. 
Undangan Persiapan Monev TW III 250925
20. 
Dokumentasi Monev Perkuliahan_compressed
21. 
PENGISIAN MONEV PERKULIAHAN
22. 
Laporan Monev
23. 
NOTULENSI MONEV 2025
24. 
RAPAT KOORDINASI AWAL GPM 2026 (1)
25. 
Laporan Kepuasan Pengguna 2025
26. 
Permohonan Monev Awal Perkuliahan Semester Genap (2)
</t>
  </si>
  <si>
    <t xml:space="preserve">1. 
https://inspirasidikti.kemdiktisaintek.go.id/unitku/zona-integritas/2026-2235/dokumen/EDARAN MONEV TW III 2024?file=2235-universitas-negeri-semarang/171-fakultas-ilmu-pendidikan/1771516027.pdf
2. 
https://inspirasidikti.kemdiktisaintek.go.id/unitku/zona-integritas/2026-2235/dokumen/Daftar Hadir (1)?file=2235-universitas-negeri-semarang/171-fakultas-ilmu-pendidikan/1771516027.pdf
3. 
https://inspirasidikti.kemdiktisaintek.go.id/unitku/zona-integritas/2026-2235/dokumen/Daftar Hadir Monev?file=2235-universitas-negeri-semarang/171-fakultas-ilmu-pendidikan/1771516029.pdf
4. 
https://inspirasidikti.kemdiktisaintek.go.id/unitku/zona-integritas/2026-2235/dokumen/Foto Rapat Monev?file=2235-universitas-negeri-semarang/171-fakultas-ilmu-pendidikan/1771516029.pdf
5. 
https://inspirasidikti.kemdiktisaintek.go.id/unitku/zona-integritas/2026-2235/dokumen/Laporan Dampak Implementasi SPBE Terintegrasi FIPP?file=2235-universitas-negeri-semarang/171-fakultas-ilmu-pendidikan/1771516032.pdf
6. 
https://inspirasidikti.kemdiktisaintek.go.id/unitku/zona-integritas/2026-2235/dokumen/Laporan Monev Awal Perkuliahan Genap 2425?file=2235-universitas-negeri-semarang/171-fakultas-ilmu-pendidikan/1771516036.pdf
7. 
https://inspirasidikti.kemdiktisaintek.go.id/unitku/zona-integritas/2026-2235/dokumen/Laporan Monev Triwulan I?file=2235-universitas-negeri-semarang/171-fakultas-ilmu-pendidikan/1771516040.pdf
8. 
https://inspirasidikti.kemdiktisaintek.go.id/unitku/zona-integritas/2026-2235/dokumen/Laporan Monev Triwulan II?file=2235-universitas-negeri-semarang/171-fakultas-ilmu-pendidikan/1771516043.pdf
9. 
https://inspirasidikti.kemdiktisaintek.go.id/unitku/zona-integritas/2026-2235/dokumen/Laporan Monev Triwulan III?file=2235-universitas-negeri-semarang/171-fakultas-ilmu-pendidikan/1771516047.pdf
10. 
https://inspirasidikti.kemdiktisaintek.go.id/unitku/zona-integritas/2026-2235/dokumen/Laporan Monev Triwulan IV?file=2235-universitas-negeri-semarang/171-fakultas-ilmu-pendidikan/1771516050.pdf
11. 
https://inspirasidikti.kemdiktisaintek.go.id/unitku/zona-integritas/2026-2235/dokumen/Monev TW3_Analisis Capaian IKU_WR4_160624?file=2235-universitas-negeri-semarang/171-fakultas-ilmu-pendidikan/1771516056.pdf
12. 
https://inspirasidikti.kemdiktisaintek.go.id/unitku/zona-integritas/2026-2235/dokumen/Monitoring dan Evaluaso?file=2235-universitas-negeri-semarang/171-fakultas-ilmu-pendidikan/1771516058.pdf
13. 
https://inspirasidikti.kemdiktisaintek.go.id/unitku/zona-integritas/2026-2235/dokumen/Notulensi Rapat Monev Triwulan I?file=2235-universitas-negeri-semarang/171-fakultas-ilmu-pendidikan/1771516064.pdf
14. 
https://inspirasidikti.kemdiktisaintek.go.id/unitku/zona-integritas/2026-2235/dokumen/Notulensi Rapat Monev Triwulan II?file=2235-universitas-negeri-semarang/171-fakultas-ilmu-pendidikan/1771516067.pdf
15. 
https://inspirasidikti.kemdiktisaintek.go.id/unitku/zona-integritas/2026-2235/dokumen/Notulensi Rapat Monev Triwulan III?file=2235-universitas-negeri-semarang/171-fakultas-ilmu-pendidikan/1771516070.pdf
16. 
https://inspirasidikti.kemdiktisaintek.go.id/unitku/zona-integritas/2026-2235/dokumen/Notulensi Rapat Monev Triwulan IV?file=2235-universitas-negeri-semarang/171-fakultas-ilmu-pendidikan/1771516073.pdf
17. 
https://inspirasidikti.kemdiktisaintek.go.id/unitku/zona-integritas/2026-2235/dokumen/Undangan Monev 1?file=2235-universitas-negeri-semarang/171-fakultas-ilmu-pendidikan/1771516076.pdf
18. 
https://inspirasidikti.kemdiktisaintek.go.id/unitku/zona-integritas/2026-2235/dokumen/Undangan Monev 2?file=2235-universitas-negeri-semarang/171-fakultas-ilmu-pendidikan/1771516079.pdf
19. 
https://inspirasidikti.kemdiktisaintek.go.id/unitku/zona-integritas/2026-2235/dokumen/Undangan Persiapan Monev TW III 250925?file=2235-universitas-negeri-semarang/171-fakultas-ilmu-pendidikan/1771516082.pdf
20. 
https://inspirasidikti.kemdiktisaintek.go.id/unitku/zona-integritas/2026-2235/dokumen/Dokumentasi Monev Perkuliahan_compressed?file=2235-universitas-negeri-semarang/171-fakultas-ilmu-pendidikan/1771516114.pdf
21. 
https://inspirasidikti.kemdiktisaintek.go.id/unitku/zona-integritas/2026-2235/dokumen/PENGISIAN MONEV PERKULIAHAN?file=2235-universitas-negeri-semarang/171-fakultas-ilmu-pendidikan/1771516130.pdf
22. 
https://inspirasidikti.kemdiktisaintek.go.id/unitku/zona-integritas/2026-2235/dokumen/Laporan Monev?file=2235-universitas-negeri-semarang/171-fakultas-ilmu-pendidikan/1771516139.pdf
23. 
https://inspirasidikti.kemdiktisaintek.go.id/unitku/zona-integritas/2026-2235/dokumen/NOTULENSI MONEV 2025?file=2235-universitas-negeri-semarang/171-fakultas-ilmu-pendidikan/1771516908.pdf
24. 
https://inspirasidikti.kemdiktisaintek.go.id/unitku/zona-integritas/2026-2235/dokumen/RAPAT KOORDINASI AWAL GPM 2026 (1)?file=2235-universitas-negeri-semarang/171-fakultas-ilmu-pendidikan/1771516918.pdf
25. 
https://inspirasidikti.kemdiktisaintek.go.id/unitku/zona-integritas/2026-2235/dokumen/Laporan Kepuasan Pengguna 2025?file=2235-universitas-negeri-semarang/171-fakultas-ilmu-pendidikan/1771516972.pdf
26. 
https://inspirasidikti.kemdiktisaintek.go.id/unitku/zona-integritas/2026-2235/dokumen/Permohonan Monev Awal Perkuliahan Semester Genap (2)?file=2235-universitas-negeri-semarang/171-fakultas-ilmu-pendidikan/1771517018.pdf
</t>
  </si>
  <si>
    <t>Unit sudah melakukan monitoring dan dan evaluasi terhadap pemanfaatan teknologi informasi dalam pengukuran kinerja unit, operasionalisasi SDM, dan pemberian layanan kepada publik</t>
  </si>
  <si>
    <t xml:space="preserve">Keterbukaan Informasi Publik </t>
  </si>
  <si>
    <t>Kebijakan tentang  keterbukaan informasi publik telah diterapkan</t>
  </si>
  <si>
    <t>a. Jika sudah terdapat Pejabat Pengelola Informasi Publik (PPID) yang menyebarkan seluruh informasi yang dapat diakses secara mutakhir dan lengkap
b. Jika sudah terdapat PPID yang menyebarkan sebagian informasi yang dapat diakses secara mutakhir dan lengkap
c. Jika belum ada PPID dan belum melakukan penyebaran informasi publik</t>
  </si>
  <si>
    <t>Kebijakan keterbukaan informasi publik telah diterapkan dengan baik melalui peran aktif PPID dalam menyebarkan informasi secara mutakhir dan lengkap. Hal ini dibuktikan dengan adanya berbagai dokumen pendukung, seperti undangan penyerahan surat keputusan gugus, daftar informasi publik, daftar gugus, pranala penyebaran informasi, notulensi rapat gugus, serta dokumen terkait PPID UNNES. Keberadaan dokumen-dokumen ini menunjukkan bahwa PPID telah menjalankan tugasnya dalam menyediakan akses informasi yang transparan dan dapat diakses oleh publik.</t>
  </si>
  <si>
    <t xml:space="preserve">1. 
SK PPID
2. 
[1]DAFTAR INFORMASI PUBLIK FIPP 2025
3. 
[2] DAFTAR GUGUS DI FIPP 2025
4. 
[3] PRANALA PENYEBARAN INFORMASI PUBLIK DI FIPP UNNES
5. 
[4] UNDANGAN PENYERAHAN SURAT KEPUTUSAN GUGUS
6. 
[5] NOTULENSI KEGIATAN RAPAT GUGUS
7. 
NOTULENSI GUGUS PENJAMINAN MUTU
8. 
Undangan Pembagian SK Rabu, 4 Februari 2026 Jam 12.30 WIB
</t>
  </si>
  <si>
    <t xml:space="preserve">1. 
https://inspirasidikti.kemdiktisaintek.go.id/unitku/zona-integritas/2026-2235/dokumen/SK PPID?file=2235-universitas-negeri-semarang/171-fakultas-ilmu-pendidikan/1771563859.pdf
2. 
https://inspirasidikti.kemdiktisaintek.go.id/unitku/zona-integritas/2026-2235/dokumen/[1]DAFTAR INFORMASI PUBLIK FIPP 2025?file=2235-universitas-negeri-semarang/171-fakultas-ilmu-pendidikan/1771517100.pdf
3. 
https://inspirasidikti.kemdiktisaintek.go.id/unitku/zona-integritas/2026-2235/dokumen/[2] DAFTAR GUGUS DI FIPP 2025?file=2235-universitas-negeri-semarang/171-fakultas-ilmu-pendidikan/1771517104.pdf
4. 
https://inspirasidikti.kemdiktisaintek.go.id/unitku/zona-integritas/2026-2235/dokumen/[3] PRANALA PENYEBARAN INFORMASI PUBLIK DI FIPP UNNES?file=2235-universitas-negeri-semarang/171-fakultas-ilmu-pendidikan/1771517107.pdf
5. 
https://inspirasidikti.kemdiktisaintek.go.id/unitku/zona-integritas/2026-2235/dokumen/[4] UNDANGAN PENYERAHAN SURAT KEPUTUSAN GUGUS?file=2235-universitas-negeri-semarang/171-fakultas-ilmu-pendidikan/1771517110.pdf
6. 
https://inspirasidikti.kemdiktisaintek.go.id/unitku/zona-integritas/2026-2235/dokumen/[5] NOTULENSI KEGIATAN RAPAT GUGUS?file=2235-universitas-negeri-semarang/171-fakultas-ilmu-pendidikan/1771517114.pdf
7. 
https://inspirasidikti.kemdiktisaintek.go.id/unitku/zona-integritas/2026-2235/dokumen/NOTULENSI GUGUS PENJAMINAN MUTU?file=2235-universitas-negeri-semarang/171-fakultas-ilmu-pendidikan/1771517144.pdf
8. 
https://inspirasidikti.kemdiktisaintek.go.id/unitku/zona-integritas/2026-2235/dokumen/Undangan Pembagian SK Rabu, 4 Februari 2026 Jam 12.30 WIB?file=2235-universitas-negeri-semarang/171-fakultas-ilmu-pendidikan/1771517188.pdf
</t>
  </si>
  <si>
    <t>Unit sudah memiliki Pejabat Pengelola Informasi Publik (PPID) yang menyebarkan seluruh informasi yang dapat diakses secara mutakhir dan lengkap</t>
  </si>
  <si>
    <t>Telah dilakukan monitoring dan evaluasi pelaksanaan kebijakan keterbukaan informasi publik</t>
  </si>
  <si>
    <t>a. Jika dilakukan monitoring dan evaluasi pelaksanaan kebijakan keterbukaan informasi publik dan telah ditindaklanjuti
b. Jika monitoring dan evaluasi pelaksanaan kebijakan keterbukaan informasi publik telah dilakukan tetapi belum ditindaklanjuti
c. Jika monitoring dan evaluasi pelaksanaan kebijakan keterbukaan informasi publik belum dilakukan</t>
  </si>
  <si>
    <t>Monitoring dan evaluasi terhadap pelaksanaan kebijakan keterbukaan informasi publik telah dilakukan dan ditindaklanjuti. Hal ini dibuktikan dengan adanya notulensi rapat monitoring dan evaluasi, dokumentasi kegiatan monitoring, serta laporan tindak lanjut yang menunjukkan upaya perbaikan berkelanjutan. Selain itu, keberadaan surat undangan serta laporan monitoring semakin menegaskan bahwa proses evaluasi dilakukan secara terstruktur dan resmi.</t>
  </si>
  <si>
    <t xml:space="preserve">1. 
[1] Notulensi Rapat Monitoring dan Evaluasi Pelaksanaan Kebijakan Keterbukaan Informasi Publik
2. 
[2] Dokumentasi Kegiatan Monitoring
3. 
[3] Tindak Lanjut Monitoring dan Evaluasi_
4. 
[4] Surat Undangan
5. 
[5] LAPORAN MONITORING
</t>
  </si>
  <si>
    <t xml:space="preserve">1. 
https://inspirasidikti.kemdiktisaintek.go.id/unitku/zona-integritas/2026-2235/dokumen/[1] Notulensi Rapat Monitoring dan Evaluasi Pelaksanaan Kebijakan Keterbukaan Informasi Publik?file=2235-universitas-negeri-semarang/171-fakultas-ilmu-pendidikan/1771517238.pdf
2. 
https://inspirasidikti.kemdiktisaintek.go.id/unitku/zona-integritas/2026-2235/dokumen/[2] Dokumentasi Kegiatan Monitoring?file=2235-universitas-negeri-semarang/171-fakultas-ilmu-pendidikan/1771517241.pdf
3. 
https://inspirasidikti.kemdiktisaintek.go.id/unitku/zona-integritas/2026-2235/dokumen/[3] Tindak Lanjut Monitoring dan Evaluasi_?file=2235-universitas-negeri-semarang/171-fakultas-ilmu-pendidikan/1771517244.pdf
4. 
https://inspirasidikti.kemdiktisaintek.go.id/unitku/zona-integritas/2026-2235/dokumen/[4] Surat Undangan?file=2235-universitas-negeri-semarang/171-fakultas-ilmu-pendidikan/1771517247.pdf
5. 
https://inspirasidikti.kemdiktisaintek.go.id/unitku/zona-integritas/2026-2235/dokumen/[5] LAPORAN MONITORING?file=2235-universitas-negeri-semarang/171-fakultas-ilmu-pendidikan/1771517250.pdf
</t>
  </si>
  <si>
    <t>Unit sudah melaksanakan monitoring dan evaluasi pelaksanaan kebijakan keterbukaan informasi publik dan telah ditindaklanjuti</t>
  </si>
  <si>
    <t>PENATAAN SISTEM MANAJEMEN SDM APARATUR</t>
  </si>
  <si>
    <t xml:space="preserve">Perencanaan Kebutuhan Pegawai sesuai dengan Kebutuhan Organisasi </t>
  </si>
  <si>
    <t>Kebutuhan pegawai yang disusun oleh unit kerja mengacu kepada peta jabatan dan hasil analisis beban kerja untuk masing-masing jabatan</t>
  </si>
  <si>
    <t>Ya, jika kebutuhan pegawai yang disusun oleh unit kerja mengacu kepada peta jabatan dan hasil analisis beban kerja untuk masing-masing jabatan.</t>
  </si>
  <si>
    <t>FIPP menyusun kebutuhan pegawai selalu mengacu kepada Peta Jabatan yang berlaku dan menganalisis beban kerja pegawai.</t>
  </si>
  <si>
    <t xml:space="preserve">1. 
i.a Dokumen rapat kebutuhan pegawai berdasarkan pemetaan jabatan dan analisis beban kerja
2. 
i.a sk dosen
3. 
i.a sk III a koko
4. 
i.a SKP Tenaga Kependidikan
5. 
i.a Notulen Rapat Usulan CPNS
6. 
i.a Pengumuman Penetapan Calon Pegawai
7. 
i.a Peta Jabatan FIPP Unnes PTNBH
8. 
i.a Struktur Organisasi FIPP
9. 
i.a Usul Formasi_FIP_PNS DOSEN_PPPK TENDIK
10. 
i.a Undangan Kebutuhan Pegawai Berdasarkan Peta Jabatan
11. 
i.a Notulen Rapat Kebutuhan Kepegawaian
12. 
i.a daftar hadir kbtuhan pgwai
13. 
Rekap ABK.xlsx - Rekap ABK
14. 
List PPPK Diterima 2022
15. 
Kebutuhan Dosen Riil FIPP 2026
16. 
Abk Tendik fip
17. 
Rincian ABK FIPP
</t>
  </si>
  <si>
    <t xml:space="preserve">1. 
https://inspirasidikti.kemdiktisaintek.go.id/unitku/zona-integritas/2026-2235/dokumen/i.a Dokumen rapat kebutuhan pegawai berdasarkan pemetaan jabatan dan analisis beban kerja?file=2235-universitas-negeri-semarang/171-fakultas-ilmu-pendidikan/1771542641.pdf
2. 
https://inspirasidikti.kemdiktisaintek.go.id/unitku/zona-integritas/2026-2235/dokumen/i.a sk dosen?file=2235-universitas-negeri-semarang/171-fakultas-ilmu-pendidikan/1771542664.pdf
3. 
https://inspirasidikti.kemdiktisaintek.go.id/unitku/zona-integritas/2026-2235/dokumen/i.a sk III a koko?file=2235-universitas-negeri-semarang/171-fakultas-ilmu-pendidikan/1771542670.pdf
4. 
https://inspirasidikti.kemdiktisaintek.go.id/unitku/zona-integritas/2026-2235/dokumen/i.a SKP Tenaga Kependidikan?file=2235-universitas-negeri-semarang/171-fakultas-ilmu-pendidikan/1771542718.pdf
5. 
https://inspirasidikti.kemdiktisaintek.go.id/unitku/zona-integritas/2026-2235/dokumen/i.a Notulen Rapat Usulan CPNS?file=2235-universitas-negeri-semarang/171-fakultas-ilmu-pendidikan/1771542755.pdf
6. 
https://inspirasidikti.kemdiktisaintek.go.id/unitku/zona-integritas/2026-2235/dokumen/i.a Pengumuman Penetapan Calon Pegawai?file=2235-universitas-negeri-semarang/171-fakultas-ilmu-pendidikan/1771542769.pdf
7. 
https://inspirasidikti.kemdiktisaintek.go.id/unitku/zona-integritas/2026-2235/dokumen/i.a Peta Jabatan FIPP Unnes PTNBH?file=2235-universitas-negeri-semarang/171-fakultas-ilmu-pendidikan/1771542789.pdf
8. 
https://inspirasidikti.kemdiktisaintek.go.id/unitku/zona-integritas/2026-2235/dokumen/i.a Struktur Organisasi FIPP?file=2235-universitas-negeri-semarang/171-fakultas-ilmu-pendidikan/1771542811.pdf
9. 
https://inspirasidikti.kemdiktisaintek.go.id/unitku/zona-integritas/2026-2235/dokumen/i.a Usul Formasi_FIP_PNS DOSEN_PPPK TENDIK?file=2235-universitas-negeri-semarang/171-fakultas-ilmu-pendidikan/1771542846.pdf
10. 
https://inspirasidikti.kemdiktisaintek.go.id/unitku/zona-integritas/2026-2235/dokumen/i.a Undangan Kebutuhan Pegawai Berdasarkan Peta Jabatan?file=2235-universitas-negeri-semarang/171-fakultas-ilmu-pendidikan/1771542863.pdf
11. 
https://inspirasidikti.kemdiktisaintek.go.id/unitku/zona-integritas/2026-2235/dokumen/i.a Notulen Rapat Kebutuhan Kepegawaian?file=2235-universitas-negeri-semarang/171-fakultas-ilmu-pendidikan/1771542878.pdf
12. 
https://inspirasidikti.kemdiktisaintek.go.id/unitku/zona-integritas/2026-2235/dokumen/i.a daftar hadir kbtuhan pgwai?file=2235-universitas-negeri-semarang/171-fakultas-ilmu-pendidikan/1771542899.pdf
13. 
https://inspirasidikti.kemdiktisaintek.go.id/unitku/zona-integritas/2026-2235/dokumen/Rekap ABK.xlsx - Rekap ABK?file=2235-universitas-negeri-semarang/171-fakultas-ilmu-pendidikan/1771560111.pdf
14. 
https://inspirasidikti.kemdiktisaintek.go.id/unitku/zona-integritas/2026-2235/dokumen/List PPPK Diterima 2022?file=2235-universitas-negeri-semarang/171-fakultas-ilmu-pendidikan/1771558709.pdf
15. 
https://inspirasidikti.kemdiktisaintek.go.id/unitku/zona-integritas/2026-2235/dokumen/Kebutuhan Dosen Riil FIPP 2026?file=2235-universitas-negeri-semarang/171-fakultas-ilmu-pendidikan/1771558200.pdf
16. 
https://inspirasidikti.kemdiktisaintek.go.id/unitku/zona-integritas/2026-2235/dokumen/Abk Tendik fip?file=2235-universitas-negeri-semarang/171-fakultas-ilmu-pendidikan/1771560830.pdf
17. 
https://inspirasidikti.kemdiktisaintek.go.id/unitku/zona-integritas/2026-2235/dokumen/Rincian ABK FIPP?file=2235-universitas-negeri-semarang/171-fakultas-ilmu-pendidikan/1772592860.pdf
</t>
  </si>
  <si>
    <t>Kebutuhan pegawai yang disusun oleh unit kerja mengacu kepada peta jabatan dan hasil analisis beban kerja untuk masing-masing jabatan.</t>
  </si>
  <si>
    <t>Penempatan pegawai hasil rekrutmen murni mengacu kepada kebutuhan pegawai yang telah disusun per jabatan</t>
  </si>
  <si>
    <t>a. Jika semua penempatan pegawai hasil rekrutmen murni mengacu kepada kebutuhan pegawai yang telah disusun per jabatan
b. Jika sebagian besar penempatan pegawai hasil rekrutmen murni mengacu kepada kebutuhan pegawai yang telah disusun per jabatan
c. Jika sebagian kecil penempatan pegawai hasil rekrutmen murni mengacu kepada kebutuhan pegawai yang telah disusun per jabatan
d. Jika penempatan pegawai hasil rekrutmen murni tidak mengacu kepada kebutuhan pegawai yang telah disusun per jabatan</t>
  </si>
  <si>
    <t>FIPP menempatkan pegawai hasil rekrutmen  sesuai dengan jabatan pelaksana masing-masing dengan memperhatikan kompetensi masing-masing.</t>
  </si>
  <si>
    <t xml:space="preserve">1. 
List PPPK Penempatan Pegawai
2. 
i.b Surat Usulan Kenaikan Pangkat
3. 
i.b Surat Usulan Kenaikan Pangkat 2
4. 
A.1.b2 ANALISIS JABATAN PEGAWAI
5. 
A.1b3 Formasi CPNS FIPP
6. 
i.b surat perintah melaksanakan tugas dari pimpinan signed_64660c39a1a6b-Surat Alih Tugas Tendik UNNES_250311_091819
7. 
i.b Surat Keterangan Penempatan Prodi_Abdul Arif
8. 
i.a Keputusan Menpan RB
9. 
ABK Penata Arsip.xlsx - pen. arsip
</t>
  </si>
  <si>
    <t xml:space="preserve">1. 
https://inspirasidikti.kemdiktisaintek.go.id/unitku/zona-integritas/2026-2235/dokumen/List PPPK Penempatan Pegawai?file=2235-universitas-negeri-semarang/171-fakultas-ilmu-pendidikan/1771559771.pdf
2. 
https://inspirasidikti.kemdiktisaintek.go.id/unitku/zona-integritas/2026-2235/dokumen/i.b Surat Usulan Kenaikan Pangkat?file=2235-universitas-negeri-semarang/171-fakultas-ilmu-pendidikan/1771542984.pdf
3. 
https://inspirasidikti.kemdiktisaintek.go.id/unitku/zona-integritas/2026-2235/dokumen/i.b Surat Usulan Kenaikan Pangkat 2?file=2235-universitas-negeri-semarang/171-fakultas-ilmu-pendidikan/1771542994.pdf
4. 
https://inspirasidikti.kemdiktisaintek.go.id/unitku/zona-integritas/2026-2235/dokumen/A.1.b2 ANALISIS JABATAN PEGAWAI?file=2235-universitas-negeri-semarang/171-fakultas-ilmu-pendidikan/1771543013.pdf
5. 
https://inspirasidikti.kemdiktisaintek.go.id/unitku/zona-integritas/2026-2235/dokumen/A.1b3 Formasi CPNS FIPP?file=2235-universitas-negeri-semarang/171-fakultas-ilmu-pendidikan/1771543028.pdf
6. 
https://inspirasidikti.kemdiktisaintek.go.id/unitku/zona-integritas/2026-2235/dokumen/i.b surat perintah melaksanakan tugas dari pimpinan signed_64660c39a1a6b-Surat Alih Tugas Tendik UNNES_250311_091819?file=2235-universitas-negeri-semarang/171-fakultas-ilmu-pendidikan/1771543042.pdf
7. 
https://inspirasidikti.kemdiktisaintek.go.id/unitku/zona-integritas/2026-2235/dokumen/i.b Surat Keterangan Penempatan Prodi_Abdul Arif?file=2235-universitas-negeri-semarang/171-fakultas-ilmu-pendidikan/1771543060.pdf
8. 
https://inspirasidikti.kemdiktisaintek.go.id/unitku/zona-integritas/2026-2235/dokumen/i.a Keputusan Menpan RB?file=2235-universitas-negeri-semarang/171-fakultas-ilmu-pendidikan/1771543083.pdf
9. 
https://inspirasidikti.kemdiktisaintek.go.id/unitku/zona-integritas/2026-2235/dokumen/ABK Penata Arsip.xlsx - pen. arsip?file=2235-universitas-negeri-semarang/171-fakultas-ilmu-pendidikan/1771561107.pdf
</t>
  </si>
  <si>
    <t>Unit telah melakukan penempatan pegawai hasil rekrutmen murni mengacu kepada kebutuhan pegawai yang telah disusun per jabatan</t>
  </si>
  <si>
    <t>Telah dilakukan monitoring dan dan evaluasi terhadap penempatan pegawai rekrutmen untuk memenuhi kebutuhan jabatan dalam organisasi telah memberikan perbaikan terhadap kinerja unit kerja</t>
  </si>
  <si>
    <t>Ya, jika sudah dilakukan monitoring dan evaluasi terhadap penempatan pegawai hasil rekrutmen untuk memenuhi kebutuhan jabatan dalam organisasi telah memberikan perbaikan terhadap kinerja unit kerja.</t>
  </si>
  <si>
    <t>FIPP telah melakukan monitoring dan evaluasi terhadap penempatan pegawai di unit-unit yang sesuai dengan jabatan dalam organisasi dan telah memberikan perbaikan terhadap kinerja.</t>
  </si>
  <si>
    <t xml:space="preserve">1. 
A.i.c Penempatan
2. 
i.c. Monitoring-dan-Evaluasi-Penempatan-Pegawai_FIPP UNNES
3. 
i.c Pemenuhan kebutuhan jabatan
</t>
  </si>
  <si>
    <t xml:space="preserve">1. 
https://inspirasidikti.kemdiktisaintek.go.id/unitku/zona-integritas/2026-2235/dokumen/A.i.c Penempatan?file=2235-universitas-negeri-semarang/171-fakultas-ilmu-pendidikan/1771543130.pdf
2. 
https://inspirasidikti.kemdiktisaintek.go.id/unitku/zona-integritas/2026-2235/dokumen/i.c. Monitoring-dan-Evaluasi-Penempatan-Pegawai_FIPP UNNES?file=2235-universitas-negeri-semarang/171-fakultas-ilmu-pendidikan/1771543157.pdf
3. 
https://inspirasidikti.kemdiktisaintek.go.id/unitku/zona-integritas/2026-2235/dokumen/i.c Pemenuhan kebutuhan jabatan?file=2235-universitas-negeri-semarang/171-fakultas-ilmu-pendidikan/1771543169.pdf
</t>
  </si>
  <si>
    <t>Unit telah melakukan monitoring dan evaluasi terhadap penempatan pegawai hasil rekrutmen untuk memenuhi kebutuhan jabatan dalam organisasi telah memberikan perbaikan terhadap kinerja unit kerja.</t>
  </si>
  <si>
    <t>Pola Mutasi Internal</t>
  </si>
  <si>
    <t>Dalam melakukan pengembangan karier pegawai, telah dilakukan mutasi pegawai antar jabatan</t>
  </si>
  <si>
    <t>Ya, jika dilakukan mutasi pegawai antar jabatan sebagai wujud dari pengembangan karier pegawai.</t>
  </si>
  <si>
    <t>FIPP  melakukan mutasi pegawai antar jabatan pelaksana untuk mendukung pengembangan karier sekaligus meningkatkan kinerja organisasi. Pola mutasi juga memperhatikan aspek kompetensi pegawai sehingga terjadi rotasi atau promosi.</t>
  </si>
  <si>
    <t xml:space="preserve">1. 
ii.a Undangan Mutasi Internal Tendik FIPP 2024
2. 
ii.a Surat pernyataan melaksanakan tugas
3. 
ii.a SK Mutasi Internal
4. 
ii.a SK JABATAN AKADEMIK FUNGSIONAL - LEKTOR - ALDINA EKA ANDRIANI
5. 
ii.a Roadmap SDM FIPP
6. 
ii.a Rencana Mutasi
7. 
ii.a Pole pngembangan pgawai
8. 
ii.a Peraturan Rektor tentang mutasi
9. 
ii.a pedoman studi lanjut
10. 
ii.a Pedoman Pengembangan karir - Penetapan-Nama-Jabatan-dan-Skor-Jabatan-Pegawai
11. 
ii.a daftar hadir mutasi internal
12. 
ii Notulens Mutasi Tendikk
13. 
ii.a Dokumen pengembangan karir
14. 
ii.a Pola pegawain ptnbh
</t>
  </si>
  <si>
    <t xml:space="preserve">1. 
https://inspirasidikti.kemdiktisaintek.go.id/unitku/zona-integritas/2026-2235/dokumen/ii.a Undangan Mutasi Internal Tendik FIPP 2024?file=2235-universitas-negeri-semarang/171-fakultas-ilmu-pendidikan/1771543714.pdf
2. 
https://inspirasidikti.kemdiktisaintek.go.id/unitku/zona-integritas/2026-2235/dokumen/ii.a Surat pernyataan melaksanakan tugas?file=2235-universitas-negeri-semarang/171-fakultas-ilmu-pendidikan/1771543719.pdf
3. 
https://inspirasidikti.kemdiktisaintek.go.id/unitku/zona-integritas/2026-2235/dokumen/ii.a SK Mutasi Internal?file=2235-universitas-negeri-semarang/171-fakultas-ilmu-pendidikan/1771543725.pdf
4. 
https://inspirasidikti.kemdiktisaintek.go.id/unitku/zona-integritas/2026-2235/dokumen/ii.a SK JABATAN AKADEMIK FUNGSIONAL - LEKTOR - ALDINA EKA ANDRIANI?file=2235-universitas-negeri-semarang/171-fakultas-ilmu-pendidikan/1771543734.pdf
5. 
https://inspirasidikti.kemdiktisaintek.go.id/unitku/zona-integritas/2026-2235/dokumen/ii.a Roadmap SDM FIPP?file=2235-universitas-negeri-semarang/171-fakultas-ilmu-pendidikan/1771543741.pdf
6. 
https://inspirasidikti.kemdiktisaintek.go.id/unitku/zona-integritas/2026-2235/dokumen/ii.a Rencana Mutasi?file=2235-universitas-negeri-semarang/171-fakultas-ilmu-pendidikan/1771543767.pdf
7. 
https://inspirasidikti.kemdiktisaintek.go.id/unitku/zona-integritas/2026-2235/dokumen/ii.a Pole pngembangan pgawai?file=2235-universitas-negeri-semarang/171-fakultas-ilmu-pendidikan/1771543773.pdf
8. 
https://inspirasidikti.kemdiktisaintek.go.id/unitku/zona-integritas/2026-2235/dokumen/ii.a Peraturan Rektor tentang mutasi?file=2235-universitas-negeri-semarang/171-fakultas-ilmu-pendidikan/1771543818.pdf
9. 
https://inspirasidikti.kemdiktisaintek.go.id/unitku/zona-integritas/2026-2235/dokumen/ii.a pedoman studi lanjut?file=2235-universitas-negeri-semarang/171-fakultas-ilmu-pendidikan/1771543824.pdf
10. 
https://inspirasidikti.kemdiktisaintek.go.id/unitku/zona-integritas/2026-2235/dokumen/ii.a Pedoman Pengembangan karir - Penetapan-Nama-Jabatan-dan-Skor-Jabatan-Pegawai?file=2235-universitas-negeri-semarang/171-fakultas-ilmu-pendidikan/1771543830.pdf
11. 
https://inspirasidikti.kemdiktisaintek.go.id/unitku/zona-integritas/2026-2235/dokumen/ii.a daftar hadir mutasi internal?file=2235-universitas-negeri-semarang/171-fakultas-ilmu-pendidikan/1771543837.pdf
12. 
https://inspirasidikti.kemdiktisaintek.go.id/unitku/zona-integritas/2026-2235/dokumen/ii Notulens Mutasi Tendikk?file=2235-universitas-negeri-semarang/171-fakultas-ilmu-pendidikan/1771543883.pdf
13. 
https://inspirasidikti.kemdiktisaintek.go.id/unitku/zona-integritas/2026-2235/dokumen/ii.a Dokumen pengembangan karir?file=2235-universitas-negeri-semarang/171-fakultas-ilmu-pendidikan/1771543983.pdf
14. 
https://inspirasidikti.kemdiktisaintek.go.id/unitku/zona-integritas/2026-2235/dokumen/ii.a Pola pegawain ptnbh?file=2235-universitas-negeri-semarang/171-fakultas-ilmu-pendidikan/1771544109.pdf
</t>
  </si>
  <si>
    <t>Unit sudah melakukan mutasi pegawai antar jabatan pelaksana untuk mendukung pengembangan karier sekaligus meningkatkan kinerja organisasi. Pola mutasi juga memperhatikan aspek kompetensi pegawai sehingga terjadi rotasi atau promosi.</t>
  </si>
  <si>
    <t>Dalam melakukan mutasi pegawai antar jabatan telah memperhatikan kompetensi jabatan dan mengikuti pola mutasi yang telah ditetapkan</t>
  </si>
  <si>
    <t>a. Jika semua mutasi pegawai antar jabatan telah memperhatikan kompetensi jabatan dan mengikuti pola mutasi yang telah ditetapkan organisasi dan juga unit kerja memberikan pertimbangan terkait hal ini
b. Jika semua mutasi pegawai antar jabatan telah memperhatikan kompetensi jabatan dan mengikuti pola mutasi yang telah ditetapkan organisasi
c. Jika sebagian besar mutasi pegawai antar jabatan telah memperhatikan kompetensi jabatan dan mengikuti pola mutasi yang telah ditetapkan organisasi
d. Jika sebagian kecil semua mutasi pegawai antar jabatan telah memperhatikan kompetensi jabatan dan mengikuti pola mutasi yang telah ditetapkan organisasi
e. Jika mutasi pegawai antar jabatan belum memperhatikan kompetensi jabatan dan mengikuti pola mutasi yang telah ditetapkan organisasi</t>
  </si>
  <si>
    <t>FIPP telah memperhatikan kompetensi jabatan dan pola mutasi dalam melakukan mutasi pegawai antar jabatan. Beberapa mutasi dilaksanakan setelah asesmen kompetensi teknis jabatan dan berdasarkan hasil asesmen tersebut dapat dilakukan rotasi, promosi.</t>
  </si>
  <si>
    <t xml:space="preserve">1. 
ii.b Surat Undangan Mutasi Internal Tendik FIPP 2024
2. 
ii.b SK Mutasi Internal
3. 
ii.b PM-PEG-15 Penetapan Tupoksi rev 03
4. 
ii.b PM-PEG-09 PENGADAAN TENAGA KEPENDIDIKAN KONTRAK rev 03
5. 
ii.b Notulen Rapat Mutasi
6. 
ii.b Dokumen standar Kompetensi Jabatan FIPP UNNES
7. 
ii.b Alih Tugas Dessy dkk
8. 
B.ii.a Rencana Mutasi
9. 
B.ii.a Pole pngembangan pgawai
10. 
B.ii.a Dokumen pengembangan karir
</t>
  </si>
  <si>
    <t xml:space="preserve">1. 
https://inspirasidikti.kemdiktisaintek.go.id/unitku/zona-integritas/2026-2235/dokumen/ii.b Surat Undangan Mutasi Internal Tendik FIPP 2024?file=2235-universitas-negeri-semarang/171-fakultas-ilmu-pendidikan/1771544594.pdf
2. 
https://inspirasidikti.kemdiktisaintek.go.id/unitku/zona-integritas/2026-2235/dokumen/ii.b SK Mutasi Internal?file=2235-universitas-negeri-semarang/171-fakultas-ilmu-pendidikan/1771544599.pdf
3. 
https://inspirasidikti.kemdiktisaintek.go.id/unitku/zona-integritas/2026-2235/dokumen/ii.b PM-PEG-15 Penetapan Tupoksi rev 03?file=2235-universitas-negeri-semarang/171-fakultas-ilmu-pendidikan/1771544604.pdf
4. 
https://inspirasidikti.kemdiktisaintek.go.id/unitku/zona-integritas/2026-2235/dokumen/ii.b PM-PEG-09 PENGADAAN TENAGA KEPENDIDIKAN KONTRAK rev 03?file=2235-universitas-negeri-semarang/171-fakultas-ilmu-pendidikan/1771544610.pdf
5. 
https://inspirasidikti.kemdiktisaintek.go.id/unitku/zona-integritas/2026-2235/dokumen/ii.b Notulen Rapat Mutasi?file=2235-universitas-negeri-semarang/171-fakultas-ilmu-pendidikan/1771544618.pdf
6. 
https://inspirasidikti.kemdiktisaintek.go.id/unitku/zona-integritas/2026-2235/dokumen/ii.b Dokumen standar Kompetensi Jabatan FIPP UNNES?file=2235-universitas-negeri-semarang/171-fakultas-ilmu-pendidikan/1771544624.pdf
7. 
https://inspirasidikti.kemdiktisaintek.go.id/unitku/zona-integritas/2026-2235/dokumen/ii.b Alih Tugas Dessy dkk?file=2235-universitas-negeri-semarang/171-fakultas-ilmu-pendidikan/1771544634.pdf
8. 
https://inspirasidikti.kemdiktisaintek.go.id/unitku/zona-integritas/2026-2235/dokumen/B.ii.a Rencana Mutasi?file=2235-universitas-negeri-semarang/171-fakultas-ilmu-pendidikan/1771544640.pdf
9. 
https://inspirasidikti.kemdiktisaintek.go.id/unitku/zona-integritas/2026-2235/dokumen/B.ii.a Pole pngembangan pgawai?file=2235-universitas-negeri-semarang/171-fakultas-ilmu-pendidikan/1771544655.pdf
10. 
https://inspirasidikti.kemdiktisaintek.go.id/unitku/zona-integritas/2026-2235/dokumen/B.ii.a Dokumen pengembangan karir?file=2235-universitas-negeri-semarang/171-fakultas-ilmu-pendidikan/1771544662.pdf
</t>
  </si>
  <si>
    <t>Unit telah memperhatikan kompetensi jabatan dan pola mutasi dalam melakukan mutasi pegawai antar jabatan. Beberapa mutasi dilaksanakan setelah asesmen kompetensi teknis jabatan dan berdasarkan hasil asesmen tersebut dapat dilakukan rotasi, promosi.</t>
  </si>
  <si>
    <t>Telah dilakukan monitoring dan evaluasi terhadap kegiatan mutasi yang telah dilakukan dalam kaitannya dengan perbaikan kinerja</t>
  </si>
  <si>
    <t>Ya, jika sudah dilakukan monitoring dan evaluasi terhadap kegiatan mutasi yang telah dilakukan dalam kaitannya dengan perbaikan kinerja.</t>
  </si>
  <si>
    <t>FIPP telah melakukan monitoring dan evaluasi terhadap kegiatan mutasi yang dilakukan untuk memperkuat struktur organisasi dan meningkatkan kinerja meskipun beberapa pegawai memasuki masa pensiun.</t>
  </si>
  <si>
    <t xml:space="preserve">1. 
ii.c SKP Pak Sobri
2. 
ii.c Monev Mutasi Internal FIPP
3. 
ii.c Instrumen-Monitoring-dan-Evaluasi-Penempatan-Pegawai_FIPP UNNES
</t>
  </si>
  <si>
    <t xml:space="preserve">1. 
https://inspirasidikti.kemdiktisaintek.go.id/unitku/zona-integritas/2026-2235/dokumen/ii.c SKP Pak Sobri?file=2235-universitas-negeri-semarang/171-fakultas-ilmu-pendidikan/1771544826.pdf
2. 
https://inspirasidikti.kemdiktisaintek.go.id/unitku/zona-integritas/2026-2235/dokumen/ii.c Monev Mutasi Internal FIPP?file=2235-universitas-negeri-semarang/171-fakultas-ilmu-pendidikan/1771544830.pdf
3. 
https://inspirasidikti.kemdiktisaintek.go.id/unitku/zona-integritas/2026-2235/dokumen/ii.c Instrumen-Monitoring-dan-Evaluasi-Penempatan-Pegawai_FIPP UNNES?file=2235-universitas-negeri-semarang/171-fakultas-ilmu-pendidikan/1771544839.pdf
</t>
  </si>
  <si>
    <t>Unit telah melakukan monitoring dan evaluasi terhadap kegiatan mutasi yang dilakukan untuk memperkuat struktur organisasi dan meningkatkan kinerja meskipun beberapa pegawai memasuki masa pensiun.
Catatan: Dokumen monev mutasi belum di tanda tangani dan belum ada hasil monev nya</t>
  </si>
  <si>
    <t xml:space="preserve">Pengembangan Pegawai Berbasis Kompetensi </t>
  </si>
  <si>
    <t>Unit Kerja melakukan Training Need Analysis Untuk pengembangan kompetensi</t>
  </si>
  <si>
    <t>Ya, jika sudah dilakukan Training Need Analysis Untuk pengembangan kompetensi.</t>
  </si>
  <si>
    <t>FIPP memanfaatkan rekomendasi hasil asesmen pegawai sebagai dasar perencanaan pengembangan kompetensi pegawai. Beberapa pelatihan teknis dan pengembangan kapasitas (Capacity Building) diselenggarakan berdasarkan kebutuhan untuk pengembangan kompetensi pegawai .</t>
  </si>
  <si>
    <t xml:space="preserve">1. 
iii.a Surat Edaran Pengisian TNA 2024
2. 
iii.a  Edaran Disiplin Pegawai Fix
3. 
iii.a DAFTAR PELATIHAN TENDIK TAHUN 2024
4. 
iii.a Edaran Disiplin Pegawai Fix
5. 
iii.a Notulen Rapat Analisis Kebutuhan Training Untuk Pengembangan
6. 
iii.a RENCANA PENGEMBANGAN PEGAWAI TNA - Andarini Permata C
7. 
iii.a SOP KENAIKAN PANGKAT JABATAN
8. 
iii.a Surat Edaran Pengisian TNA 2024
9. 
iii.a tridharma_1702873059
</t>
  </si>
  <si>
    <t xml:space="preserve">1. 
https://inspirasidikti.kemdiktisaintek.go.id/unitku/zona-integritas/2026-2235/dokumen/iii.a Surat Edaran Pengisian TNA 2024?file=2235-universitas-negeri-semarang/171-fakultas-ilmu-pendidikan/1771532974.pdf
2. 
https://inspirasidikti.kemdiktisaintek.go.id/unitku/zona-integritas/2026-2235/dokumen/iii.a  Edaran Disiplin Pegawai Fix?file=2235-universitas-negeri-semarang/171-fakultas-ilmu-pendidikan/1771533014.pdf
3. 
https://inspirasidikti.kemdiktisaintek.go.id/unitku/zona-integritas/2026-2235/dokumen/iii.a DAFTAR PELATIHAN TENDIK TAHUN 2024?file=2235-universitas-negeri-semarang/171-fakultas-ilmu-pendidikan/1771533022.pdf
4. 
https://inspirasidikti.kemdiktisaintek.go.id/unitku/zona-integritas/2026-2235/dokumen/iii.a Edaran Disiplin Pegawai Fix?file=2235-universitas-negeri-semarang/171-fakultas-ilmu-pendidikan/1771533034.pdf
5. 
https://inspirasidikti.kemdiktisaintek.go.id/unitku/zona-integritas/2026-2235/dokumen/iii.a Notulen Rapat Analisis Kebutuhan Training Untuk Pengembangan?file=2235-universitas-negeri-semarang/171-fakultas-ilmu-pendidikan/1771533044.pdf
6. 
https://inspirasidikti.kemdiktisaintek.go.id/unitku/zona-integritas/2026-2235/dokumen/iii.a RENCANA PENGEMBANGAN PEGAWAI TNA - Andarini Permata C?file=2235-universitas-negeri-semarang/171-fakultas-ilmu-pendidikan/1771533055.pdf
7. 
https://inspirasidikti.kemdiktisaintek.go.id/unitku/zona-integritas/2026-2235/dokumen/iii.a SOP KENAIKAN PANGKAT JABATAN?file=2235-universitas-negeri-semarang/171-fakultas-ilmu-pendidikan/1771533063.pdf
8. 
https://inspirasidikti.kemdiktisaintek.go.id/unitku/zona-integritas/2026-2235/dokumen/iii.a Surat Edaran Pengisian TNA 2024?file=2235-universitas-negeri-semarang/171-fakultas-ilmu-pendidikan/1771533076.pdf
9. 
https://inspirasidikti.kemdiktisaintek.go.id/unitku/zona-integritas/2026-2235/dokumen/iii.a tridharma_1702873059?file=2235-universitas-negeri-semarang/171-fakultas-ilmu-pendidikan/1771533087.pdf
</t>
  </si>
  <si>
    <t>Unit sudah memanfaatkan rekomendasi hasil asesmen pegawai sebagai dasar perencanaan pengembangan kompetensi pegawai. Beberapa pelatihan teknis dan pengembangan kapasitas (Capacity Building) diselenggarakan berdasarkan kebutuhan untuk pengembangan kompetensi pegawa</t>
  </si>
  <si>
    <t>Dalam menyusun rencana pengembangan kompetensi pegawai, telah mempertimbangkan hasil pengelolaan kinerja pegawai</t>
  </si>
  <si>
    <t>a. Jika semua rencana pengembangan kompetensi pegawai mempertimbangkan hasil pengelolaan kinerja pegawai
b. Jika sebagian besar rencana pengembangan kompetensi pegawai mempertimbangkan hasil pengelolaan kinerja pegawai
c. Jika sebagian kecil rencana pengembangan kompetensi pegawai mempertimbangkan hasil pengelolaan kinerja pegawai
d. Jika belum ada rencana pengembangan kompetensi pegawai yang mempertimbangkan hasil pengelolaan kinerja pegawai</t>
  </si>
  <si>
    <t>FIPP mempertimbangkan hasil pengelolaan kinerja pegawai untuk merencanakan pengembangan kompetensi pegawai melalui aplikasi My-Kepegawaian.</t>
  </si>
  <si>
    <t xml:space="preserve">1. 
iii.b Bukti Sanksi Pelanggaran
2. 
iii.b Daftar Hadir Pengembangan Kompetensi Pegawai
3. 
iii.b Daftar Sertifikat Kompetensi
4. 
iii.b Dokumentasi Pengembangan Kompetensi Pegawai
5. 
iii.b Notulen Rapat Kompetensi Pegawai
6. 
iii.b SKP Pegawai Tendik
7. 
iii.b Undangan Rapat Kompetensi Pegawai
</t>
  </si>
  <si>
    <t xml:space="preserve">1. 
https://inspirasidikti.kemdiktisaintek.go.id/unitku/zona-integritas/2026-2235/dokumen/iii.b Bukti Sanksi Pelanggaran?file=2235-universitas-negeri-semarang/171-fakultas-ilmu-pendidikan/1771533160.pdf
2. 
https://inspirasidikti.kemdiktisaintek.go.id/unitku/zona-integritas/2026-2235/dokumen/iii.b Daftar Hadir Pengembangan Kompetensi Pegawai?file=2235-universitas-negeri-semarang/171-fakultas-ilmu-pendidikan/1771533166.pdf
3. 
https://inspirasidikti.kemdiktisaintek.go.id/unitku/zona-integritas/2026-2235/dokumen/iii.b Daftar Sertifikat Kompetensi?file=2235-universitas-negeri-semarang/171-fakultas-ilmu-pendidikan/1771533172.pdf
4. 
https://inspirasidikti.kemdiktisaintek.go.id/unitku/zona-integritas/2026-2235/dokumen/iii.b Dokumentasi Pengembangan Kompetensi Pegawai?file=2235-universitas-negeri-semarang/171-fakultas-ilmu-pendidikan/1771533179.pdf
5. 
https://inspirasidikti.kemdiktisaintek.go.id/unitku/zona-integritas/2026-2235/dokumen/iii.b Notulen Rapat Kompetensi Pegawai?file=2235-universitas-negeri-semarang/171-fakultas-ilmu-pendidikan/1771533188.pdf
6. 
https://inspirasidikti.kemdiktisaintek.go.id/unitku/zona-integritas/2026-2235/dokumen/iii.b SKP Pegawai Tendik?file=2235-universitas-negeri-semarang/171-fakultas-ilmu-pendidikan/1771533197.pdf
7. 
https://inspirasidikti.kemdiktisaintek.go.id/unitku/zona-integritas/2026-2235/dokumen/iii.b Undangan Rapat Kompetensi Pegawai?file=2235-universitas-negeri-semarang/171-fakultas-ilmu-pendidikan/1771533204.pdf
</t>
  </si>
  <si>
    <t>Unit sudah mempertimbangkan hasil pengelolaan kinerja pegawai untuk merencanakan pengembangan kompetensi pegawai melalui aplikasi My-Kepegawaian.</t>
  </si>
  <si>
    <t xml:space="preserve"> Tingkat kesenjangan kompetensi pegawai yang ada dengan standar kompetensi yang ditetapkan untuk masing-masing jabatan</t>
  </si>
  <si>
    <t>a. Jika persentase kesenjangan kompetensi pegawai dengan standar kompetensi yang ditetapkan sebesar &lt;25%
b. Jika persentase kesenjangan kompetensi pegawai dengan standar kompetensi yang ditetapkan sebesar &gt;25%-50%
c. Jika  sebagian besar kompetensi pegawai dengan standar kompetensi yang ditetapkan untuk masing-masing jabatan &gt;50% -75%
d. Jika persentase kesenjangan kompetensi pegawai dengan standar kompetensi yang ditetapkan sebesar &gt;75%-100%</t>
  </si>
  <si>
    <t>FIPP pernah melakukan asesmen mandiri kompetensi teknis sesuai standar kompetensi jabatan masing-masing. Namun kesenjangan kompetensi yang ada belum tersedia pelatihan teknis untuk pengembangan kompetensinya.</t>
  </si>
  <si>
    <t xml:space="preserve">1. 
iii.c Screenshoot Profil Kompetensi Pegawai
2. 
iii.c tridharma_1702873059
</t>
  </si>
  <si>
    <t xml:space="preserve">1. 
https://inspirasidikti.kemdiktisaintek.go.id/unitku/zona-integritas/2026-2235/dokumen/iii.c Screenshoot Profil Kompetensi Pegawai?file=2235-universitas-negeri-semarang/171-fakultas-ilmu-pendidikan/1771533265.pdf
2. 
https://inspirasidikti.kemdiktisaintek.go.id/unitku/zona-integritas/2026-2235/dokumen/iii.c tridharma_1702873059?file=2235-universitas-negeri-semarang/171-fakultas-ilmu-pendidikan/1771533269.pdf
</t>
  </si>
  <si>
    <t>Ditambahkan laporan gab analis</t>
  </si>
  <si>
    <t>Pegawai di Unit Kerja telah memperoleh kesempatan/hak untuk mengikuti diklat maupun pengembangan kompetensi lainnya</t>
  </si>
  <si>
    <t>a. Jika seluruh pegawai di Unit Kerja telah memperoleh kesempatan/hak untuk mengikuti diklat maupun pengembangan kompetensi lainnya
b. Jika sebagian besar pegawai di Unit Kerja telah memperoleh kesempatan/hak untuk mengikuti diklat maupun pengembangan kompetensi lainnya
c. Jika sebagian kecil pegawai di Unit Kerja telah memperoleh kesempatan/hak untuk mengikuti diklat maupun pengembangan kompetensi lainnya
d. Jika belum ada pegawai di Unit Kerja telah memperoleh kesempatan/hak untuk mengikuti diklat maupun pengembangan kompetensi lainnya</t>
  </si>
  <si>
    <t xml:space="preserve">1. 
iii.d DAFTAR PELATIHAN TENDIK TAHUN 2024
2. 
iii.d Surat pemanggilan mengikuti Diklat
3. 
iii.d Surat Undangan Peserta AA
4. 
iii.d tridharma_1702873059
</t>
  </si>
  <si>
    <t xml:space="preserve">1. 
https://inspirasidikti.kemdiktisaintek.go.id/unitku/zona-integritas/2026-2235/dokumen/iii.d DAFTAR PELATIHAN TENDIK TAHUN 2024?file=2235-universitas-negeri-semarang/171-fakultas-ilmu-pendidikan/1771533293.pdf
2. 
https://inspirasidikti.kemdiktisaintek.go.id/unitku/zona-integritas/2026-2235/dokumen/iii.d Surat pemanggilan mengikuti Diklat?file=2235-universitas-negeri-semarang/171-fakultas-ilmu-pendidikan/1771533302.pdf
3. 
https://inspirasidikti.kemdiktisaintek.go.id/unitku/zona-integritas/2026-2235/dokumen/iii.d Surat Undangan Peserta AA?file=2235-universitas-negeri-semarang/171-fakultas-ilmu-pendidikan/1771533304.pdf
4. 
https://inspirasidikti.kemdiktisaintek.go.id/unitku/zona-integritas/2026-2235/dokumen/iii.d tridharma_1702873059?file=2235-universitas-negeri-semarang/171-fakultas-ilmu-pendidikan/1771533309.pdf
</t>
  </si>
  <si>
    <t>Unit melakukan asesmen mandiri kompetensi teknis sesuai standar kompetensi jabatan masing-masing. Namun kesenjangan kompetensi yang ada belum tersedia pelatihan teknis untuk pengembangan kompetensinya.</t>
  </si>
  <si>
    <t>e.</t>
  </si>
  <si>
    <t>Dalam pelaksanaan pengembangan kompetensi, unit kerja melakukan upaya pengembangan kompetensi kepada pegawai (seperti pengikutsertaan pada lembaga pelatihan, in-house training, coaching, atau mentoring)</t>
  </si>
  <si>
    <t>a. Jika unit kerja melakukan upaya pengembangan kompetensi kepada seluruh pegawai
b. Jika unit kerja melakukan upaya pengembangan kompetensi kepada sebagian besar pegawai
c. Jika unit kerja melakukan upaya pengembangan kompetensi kepada sebagian kecil pegawai
d. Jika unit kerja belum melakukan upaya pengembangan kompetensi kepada pegawai</t>
  </si>
  <si>
    <t>FIPP melaksanakan pengembangan kompetensi  dengan tujuan untuk  meningkatkan kompetensi  kepada seluruh pegawai.</t>
  </si>
  <si>
    <t xml:space="preserve">1. 
iii.e Dokumentasi kegiatan AA
2. 
iii.e Dokuementasi Pengembangan Kompetensi Pegawai
3. 
iii.e Daftar Pegawai yang telah Mengikuti Diklat_pengembangan kompetensi lainnya (1)
4. 
iii.e 1681147313_SertifikatMicrosoftAyu2023 (1)
5. 
iii.e 1681789272_29.MuslikahQuirkos (1)
6. 
iii.e 1645798663_SERTIFIKATKOMPETENSIPENELITIKUANTITAIFINTERNASIONAL (1)
7. 
iii.e 1615238823_1611984887sertifikatpenulisbukunonfiksi2halamanplusfotottd1 (1)
8. 
iii.e 1611984887_sertifikatpenulisbukunonfiksi2halamanplusfotottd (1)
9. 
iii.e Surat Undangan Peserta AA
</t>
  </si>
  <si>
    <t xml:space="preserve">1. 
https://inspirasidikti.kemdiktisaintek.go.id/unitku/zona-integritas/2026-2235/dokumen/iii.e Dokumentasi kegiatan AA?file=2235-universitas-negeri-semarang/171-fakultas-ilmu-pendidikan/1771533532.pdf
2. 
https://inspirasidikti.kemdiktisaintek.go.id/unitku/zona-integritas/2026-2235/dokumen/iii.e Dokuementasi Pengembangan Kompetensi Pegawai?file=2235-universitas-negeri-semarang/171-fakultas-ilmu-pendidikan/1771533541.pdf
3. 
https://inspirasidikti.kemdiktisaintek.go.id/unitku/zona-integritas/2026-2235/dokumen/iii.e Daftar Pegawai yang telah Mengikuti Diklat_pengembangan kompetensi lainnya (1)?file=2235-universitas-negeri-semarang/171-fakultas-ilmu-pendidikan/1771533547.pdf
4. 
https://inspirasidikti.kemdiktisaintek.go.id/unitku/zona-integritas/2026-2235/dokumen/iii.e 1681147313_SertifikatMicrosoftAyu2023 (1)?file=2235-universitas-negeri-semarang/171-fakultas-ilmu-pendidikan/1771533565.pdf
5. 
https://inspirasidikti.kemdiktisaintek.go.id/unitku/zona-integritas/2026-2235/dokumen/iii.e 1681789272_29.MuslikahQuirkos (1)?file=2235-universitas-negeri-semarang/171-fakultas-ilmu-pendidikan/1771533565.pdf
6. 
https://inspirasidikti.kemdiktisaintek.go.id/unitku/zona-integritas/2026-2235/dokumen/iii.e 1645798663_SERTIFIKATKOMPETENSIPENELITIKUANTITAIFINTERNASIONAL (1)?file=2235-universitas-negeri-semarang/171-fakultas-ilmu-pendidikan/1771533576.pdf
7. 
https://inspirasidikti.kemdiktisaintek.go.id/unitku/zona-integritas/2026-2235/dokumen/iii.e 1615238823_1611984887sertifikatpenulisbukunonfiksi2halamanplusfotottd1 (1)?file=2235-universitas-negeri-semarang/171-fakultas-ilmu-pendidikan/1771533583.pdf
8. 
https://inspirasidikti.kemdiktisaintek.go.id/unitku/zona-integritas/2026-2235/dokumen/iii.e 1611984887_sertifikatpenulisbukunonfiksi2halamanplusfotottd (1)?file=2235-universitas-negeri-semarang/171-fakultas-ilmu-pendidikan/1771533601.pdf
9. 
https://inspirasidikti.kemdiktisaintek.go.id/unitku/zona-integritas/2026-2235/dokumen/iii.e Surat Undangan Peserta AA?file=2235-universitas-negeri-semarang/171-fakultas-ilmu-pendidikan/1771533613.pdf
</t>
  </si>
  <si>
    <t>Unit melaksanakan pengembangan kompetensi dengan tujuan untuk meningkatkan kompetensi kepada seluruh pegawai.</t>
  </si>
  <si>
    <t>f.</t>
  </si>
  <si>
    <t>Telah dilakukan monitoring dan evaluasi terhadap hasil pengembangan kompetensi dalam kaitannya dengan perbaikan kinerja</t>
  </si>
  <si>
    <t>a. Jika monitoring dan evaluasi terhadap hasil pengembangan kompetensi dalam kaitannya dengan perbaikan kinerja telah dilakukan secara berkala
b. Jika monitoring dan evaluasi terhadap hasil pengembangan kompetensi dalam kaitannya dengan perbaikan kinerja telah dilakukan namun tidak secara berkala
c. Jika monitoring dan evaluasi terhadap hasil pengembangan kompetensi dalam kaitannya dengan perbaikan kinerja belum dilakukan</t>
  </si>
  <si>
    <t>FIPP telah melaksanakan monitoring dan evaluasi terhadap hasil pengembangan kompetensi yang berkaitan dengan  perbaikan kinerja  secara berkala.</t>
  </si>
  <si>
    <t xml:space="preserve">1. 
A.iii.f 2023 Sertifikat Ukom Penulis Profesional Non Fiksi
2. 
A.iii.f Microsoft Certified Educator
3. 
iii.f Hasil monitoring dalam pembelajaran
4. 
iii.f serkom1
</t>
  </si>
  <si>
    <t xml:space="preserve">1. 
https://inspirasidikti.kemdiktisaintek.go.id/unitku/zona-integritas/2026-2235/dokumen/A.iii.f 2023 Sertifikat Ukom Penulis Profesional Non Fiksi?file=2235-universitas-negeri-semarang/171-fakultas-ilmu-pendidikan/1771533349.pdf
2. 
https://inspirasidikti.kemdiktisaintek.go.id/unitku/zona-integritas/2026-2235/dokumen/A.iii.f Microsoft Certified Educator?file=2235-universitas-negeri-semarang/171-fakultas-ilmu-pendidikan/1771533353.pdf
3. 
https://inspirasidikti.kemdiktisaintek.go.id/unitku/zona-integritas/2026-2235/dokumen/iii.f Hasil monitoring dalam pembelajaran?file=2235-universitas-negeri-semarang/171-fakultas-ilmu-pendidikan/1771533358.pdf
4. 
https://inspirasidikti.kemdiktisaintek.go.id/unitku/zona-integritas/2026-2235/dokumen/iii.f serkom1?file=2235-universitas-negeri-semarang/171-fakultas-ilmu-pendidikan/1771533366.pdf
</t>
  </si>
  <si>
    <t>Unit telah melaksanakan monitoring dan evaluasi terhadap hasil pengembangan kompetensi yang berkaitan dengan perbaikan kinerja secara berkala.</t>
  </si>
  <si>
    <t xml:space="preserve">Penetapan Kinerja Individu </t>
  </si>
  <si>
    <t xml:space="preserve"> </t>
  </si>
  <si>
    <t>Terdapat penetapan kinerja individu yang terkait dengan perjanjian kinerja organisasi</t>
  </si>
  <si>
    <t>a. Jika seluruh penetapan kinerja individu terkait dengan kinerja organisasi serta perjanjian kinerja selaras dengan sasaran kinerja pegawai (SKP)
b. Jika sebagian besar penetapan kinerja individu terkait dengan kinerja organisasi
c. Jika sebagian kecil penetapan kinerja individu terkait dengan kinerja organisasi
d. Jika belum ada penetapan kinerja individu terkait dengan kinerja organisasi</t>
  </si>
  <si>
    <t>FIPP telah menetapkan kinerja individu masing-masing dosen dan tendik terkait dengan kinerja dan perjanjian sesuai dengan SKP</t>
  </si>
  <si>
    <t xml:space="preserve">1. 
A.iv 2
2. 
A.iv 3
3. 
A.iv
4. 
iv
</t>
  </si>
  <si>
    <t xml:space="preserve">1. 
https://inspirasidikti.kemdiktisaintek.go.id/unitku/zona-integritas/2026-2235/dokumen/A.iv 2?file=2235-universitas-negeri-semarang/171-fakultas-ilmu-pendidikan/1771534048.pdf
2. 
https://inspirasidikti.kemdiktisaintek.go.id/unitku/zona-integritas/2026-2235/dokumen/A.iv 3?file=2235-universitas-negeri-semarang/171-fakultas-ilmu-pendidikan/1771534053.pdf
3. 
https://inspirasidikti.kemdiktisaintek.go.id/unitku/zona-integritas/2026-2235/dokumen/A.iv?file=2235-universitas-negeri-semarang/171-fakultas-ilmu-pendidikan/1771534058.pdf
4. 
https://inspirasidikti.kemdiktisaintek.go.id/unitku/zona-integritas/2026-2235/dokumen/iv?file=2235-universitas-negeri-semarang/171-fakultas-ilmu-pendidikan/1771534066.pdf
</t>
  </si>
  <si>
    <t>Unit telah menetapkan kinerja individu masing-masing dosen dan tendik terkait dengan kinerja dan perjanjian sesuai dengan SKP</t>
  </si>
  <si>
    <t>Ukuran kinerja individu telah memiliki kesesuaian dengan indikator kinerja individu level diatasnya</t>
  </si>
  <si>
    <t>a. Jika seluruh ukuran kinerja individu telah memiliki kesesuaian dengan indikator kinerja individu level diatasnya serta menggambarkan logic model
b. Jika sebagian besar ukuran kinerja individu telah memiliki kesesuaian dengan indikator kinerja individu level diatasnya
c. Jika sebagian kecil ukuran kinerja individu telah memiliki kesesuaian dengan indikator kinerja individu level diatasnya
d. Jika ukuran kinerja individu belum memiliki kesesuaian dengan indikator kinerja individu level diatasnya</t>
  </si>
  <si>
    <t>Seluruh ukuran kinerja individu telah memiliki kesesuaian dengan indikator kinerja individu level diatasnya serta menggambarkan logic model</t>
  </si>
  <si>
    <t xml:space="preserve">1. 
iv.b.1
2. 
iv.b.2
</t>
  </si>
  <si>
    <t xml:space="preserve">1. 
https://inspirasidikti.kemdiktisaintek.go.id/unitku/zona-integritas/2026-2235/dokumen/iv.b.1?file=2235-universitas-negeri-semarang/171-fakultas-ilmu-pendidikan/1771533897.pdf
2. 
https://inspirasidikti.kemdiktisaintek.go.id/unitku/zona-integritas/2026-2235/dokumen/iv.b.2?file=2235-universitas-negeri-semarang/171-fakultas-ilmu-pendidikan/1771533899.pdf
</t>
  </si>
  <si>
    <t>Kinerja individu telah memiliki kesesuaian dengan indikator kinerja individu level diatasnya serta menggambarkan logic model</t>
  </si>
  <si>
    <t>Pengukuran kinerja individu dilakukan secara periodik</t>
  </si>
  <si>
    <t>a. Jika pengukuran kinerja individu dilakukan secara bulanan
b. Jika pengukuran kinerja individu dilakukan secara triwulanan
c. Jika pengukuran kinerja individu dilakukan secara semesteran
d. Jika pengukuran kinerja individu dilakukan secara tahunan
e. Jika pengukuran kinerja individu belum dilakukan</t>
  </si>
  <si>
    <t>FIPP mengukur kinerja individu secara periodik melalui aplikasi SKP yang terpusat di apps.unnes.ac.id menu My-Kepegawaian.</t>
  </si>
  <si>
    <t xml:space="preserve">1. 
iv.c.1
2. 
iv.c.2
</t>
  </si>
  <si>
    <t xml:space="preserve">1. 
https://inspirasidikti.kemdiktisaintek.go.id/unitku/zona-integritas/2026-2235/dokumen/iv.c.1?file=2235-universitas-negeri-semarang/171-fakultas-ilmu-pendidikan/1771533923.pdf
2. 
https://inspirasidikti.kemdiktisaintek.go.id/unitku/zona-integritas/2026-2235/dokumen/iv.c.2?file=2235-universitas-negeri-semarang/171-fakultas-ilmu-pendidikan/1771533930.pdf
</t>
  </si>
  <si>
    <t>Unit telah mengukur kinerja individu secara periodik melalui aplikasi SKP yang terpusat di apps.unnes.ac.id menu My-Kepegawaian.</t>
  </si>
  <si>
    <t>Hasil penilaian kinerja individu telah dijadikan dasar untuk pemberian reward</t>
  </si>
  <si>
    <t>Ya, jika hasil hasil penilaian kinerja individu telah dijadikan dasar untuk pemberian reward (Seperti: pengembangan karir individu, atau penghargaan)</t>
  </si>
  <si>
    <t>FIPP menggunakan hasil penilaian kinerja individu dan kedisiplinan sebagai dasar untuk memberikan penghargaan Pegawai Teladan.</t>
  </si>
  <si>
    <t xml:space="preserve">1. 
iv.d Daftar Hadir Reward
2. 
iv.d Dokumentasi Pemberian Reward
3. 
iv.d Edaran No_25055 (Innovation Awards 2024) OK
4. 
iv.d Hasil Penilaian Kinerja Individu
5. 
iv.d koko
6. 
iv.d Sertifikat Tenaga Kependidikan Berprestasi
7. 
iv.d Signed_sasaran-kinerja Diana 2025
8. 
iv.d Undangan Rapat Pemberian Reward
9. 
iv.d.8.Notula reward
</t>
  </si>
  <si>
    <t xml:space="preserve">1. 
https://inspirasidikti.kemdiktisaintek.go.id/unitku/zona-integritas/2026-2235/dokumen/iv.d Daftar Hadir Reward?file=2235-universitas-negeri-semarang/171-fakultas-ilmu-pendidikan/1771533950.pdf
2. 
https://inspirasidikti.kemdiktisaintek.go.id/unitku/zona-integritas/2026-2235/dokumen/iv.d Dokumentasi Pemberian Reward?file=2235-universitas-negeri-semarang/171-fakultas-ilmu-pendidikan/1771533959.pdf
3. 
https://inspirasidikti.kemdiktisaintek.go.id/unitku/zona-integritas/2026-2235/dokumen/iv.d Edaran No_25055 (Innovation Awards 2024) OK?file=2235-universitas-negeri-semarang/171-fakultas-ilmu-pendidikan/1771533964.pdf
4. 
https://inspirasidikti.kemdiktisaintek.go.id/unitku/zona-integritas/2026-2235/dokumen/iv.d Hasil Penilaian Kinerja Individu?file=2235-universitas-negeri-semarang/171-fakultas-ilmu-pendidikan/1771533975.pdf
5. 
https://inspirasidikti.kemdiktisaintek.go.id/unitku/zona-integritas/2026-2235/dokumen/iv.d koko?file=2235-universitas-negeri-semarang/171-fakultas-ilmu-pendidikan/1771533983.pdf
6. 
https://inspirasidikti.kemdiktisaintek.go.id/unitku/zona-integritas/2026-2235/dokumen/iv.d Sertifikat Tenaga Kependidikan Berprestasi?file=2235-universitas-negeri-semarang/171-fakultas-ilmu-pendidikan/1771533991.pdf
7. 
https://inspirasidikti.kemdiktisaintek.go.id/unitku/zona-integritas/2026-2235/dokumen/iv.d Signed_sasaran-kinerja Diana 2025?file=2235-universitas-negeri-semarang/171-fakultas-ilmu-pendidikan/1771534000.pdf
8. 
https://inspirasidikti.kemdiktisaintek.go.id/unitku/zona-integritas/2026-2235/dokumen/iv.d Undangan Rapat Pemberian Reward?file=2235-universitas-negeri-semarang/171-fakultas-ilmu-pendidikan/1771534010.pdf
9. 
https://inspirasidikti.kemdiktisaintek.go.id/unitku/zona-integritas/2026-2235/dokumen/iv.d.8.Notula reward?file=2235-universitas-negeri-semarang/171-fakultas-ilmu-pendidikan/1771534022.pdf
</t>
  </si>
  <si>
    <t>Unit menggunakan hasil penilaian kinerja individu dan kedisiplinan sebagai dasar untuk memberikan penghargaan Pegawai Teladan.</t>
  </si>
  <si>
    <t>v.</t>
  </si>
  <si>
    <t xml:space="preserve">Penegakan Aturan Disiplin/Kode Etik/Kode Perilaku Pegawai </t>
  </si>
  <si>
    <t>Aturan disiplin/kode etik/kode perilaku telah dilaksanakan/diimplementasikan</t>
  </si>
  <si>
    <t>a. Jika unit kerja telah mengimplementasikan seluruh aturan disiplin/kode etik/kode perilaku yang ditetapkan organisasi dan juga membuat inovasi terkait aturan disiplin/kode etik/kode perilaku yang sesuai dengan karakteristik unit kerja
b. Jika unit kerja telah mengimplementasikan seluruh aturan disiplin/kode etik/kode perilaku yang ditetapkan organisasi
c. Jika unit kerja telah mengimplementasikan sebagian aturan disiplin/kode etik/kode perilaku yang ditetapkan organisasi
d. Jika unit kerja belum mengimplementasikan aturan disiplin/kode etik/kode perilaku yang ditetapkan organisasi</t>
  </si>
  <si>
    <t>FIPP telah melaksanakan atau mengimplementasikan aturan disiplin/kode etik/kode perilaku secara efektif kepada beberapa pegawai yang melanggar disiplin dan kode etik dengan sanksi disiplin yang tegas untuk memastikan integritas pegawai dan organisasi terjaga, sehingga pelayanan kepada publik dan pemangku kepentingan semakin baik.</t>
  </si>
  <si>
    <t xml:space="preserve">1. 
v.a Edaran Disiplin Pegawai Fix
2. 
v.a Pedoman Penegakan Etika
3. 
v.a peraturan rektor disiplin pegawai
4. 
v.a Edaran Disiplin Pegawai
5. 
v.a Surat Edaran Larangan Menyediakan Konsumsi dalam Seminar Proposal dan Skripsi FIPP UNNES.kpdf
6. 
v.a Rekap Presensi Pegawai
7. 
v.a Penegakan hukuman disiplin
8. 
v.a Foto Presensi - Rekap Aldina Eka Andriani
</t>
  </si>
  <si>
    <t xml:space="preserve">1. 
https://inspirasidikti.kemdiktisaintek.go.id/unitku/zona-integritas/2026-2235/dokumen/v.a Edaran Disiplin Pegawai Fix?file=2235-universitas-negeri-semarang/171-fakultas-ilmu-pendidikan/1771541316.pdf
2. 
https://inspirasidikti.kemdiktisaintek.go.id/unitku/zona-integritas/2026-2235/dokumen/v.a Pedoman Penegakan Etika?file=2235-universitas-negeri-semarang/171-fakultas-ilmu-pendidikan/1771541342.pdf
3. 
https://inspirasidikti.kemdiktisaintek.go.id/unitku/zona-integritas/2026-2235/dokumen/v.a peraturan rektor disiplin pegawai?file=2235-universitas-negeri-semarang/171-fakultas-ilmu-pendidikan/1771541358.pdf
4. 
https://inspirasidikti.kemdiktisaintek.go.id/unitku/zona-integritas/2026-2235/dokumen/v.a Edaran Disiplin Pegawai?file=2235-universitas-negeri-semarang/171-fakultas-ilmu-pendidikan/1771541378.pdf
5. 
https://inspirasidikti.kemdiktisaintek.go.id/unitku/zona-integritas/2026-2235/dokumen/v.a Surat Edaran Larangan Menyediakan Konsumsi dalam Seminar Proposal dan Skripsi FIPP UNNES.kpdf?file=2235-universitas-negeri-semarang/171-fakultas-ilmu-pendidikan/1771541388.pdf
6. 
https://inspirasidikti.kemdiktisaintek.go.id/unitku/zona-integritas/2026-2235/dokumen/v.a Rekap Presensi Pegawai?file=2235-universitas-negeri-semarang/171-fakultas-ilmu-pendidikan/1771541406.pdf
7. 
https://inspirasidikti.kemdiktisaintek.go.id/unitku/zona-integritas/2026-2235/dokumen/v.a Penegakan hukuman disiplin?file=2235-universitas-negeri-semarang/171-fakultas-ilmu-pendidikan/1771541421.pdf
8. 
https://inspirasidikti.kemdiktisaintek.go.id/unitku/zona-integritas/2026-2235/dokumen/v.a Foto Presensi - Rekap Aldina Eka Andriani?file=2235-universitas-negeri-semarang/171-fakultas-ilmu-pendidikan/1771541442.pdf
</t>
  </si>
  <si>
    <t>Unit kerja telah mengimplementasikan seluruh aturan disiplin/kode etik/kode perilaku yang ditetapkan organisasi dan juga membuat inovasi terkait aturan disiplin/kode etik/kode perilaku yang sesuai dengan karakteristik unit kerja</t>
  </si>
  <si>
    <t>vi.</t>
  </si>
  <si>
    <t xml:space="preserve">Sistem Informasi Kepegawaian </t>
  </si>
  <si>
    <t>Data informasi kepegawaian unit kerja telah dimutakhirkan secara berkala</t>
  </si>
  <si>
    <t>a. Jika data informasi kepegawaian unit kerja dapat diakses oleh pegawai dan dimutakhirkan setiap ada perubahan data pegawai
b. Jika data informasi kepegawaian unit kerja dapat diakses oleh pegawai dan  dimutakhirkan namun secara berkala
c. Jika data informasi kepegawaian unit kerja belum dimutakhirkan</t>
  </si>
  <si>
    <t>FIPP memutakhirkan data informasi kepegawaian secara berkala, melalui aplikasi My-Kepegawaian Unnes</t>
  </si>
  <si>
    <t xml:space="preserve">1. 
vi.a Pemutakhiran Data
2. 
VI a Sistem informasi kepgawaian
3. 
vi.a Pemutakhiran Data2
4. 
vi.a Undangan Update SISTER
5. 
vi.a Pembaharuan data unnes
</t>
  </si>
  <si>
    <t xml:space="preserve">1. 
https://inspirasidikti.kemdiktisaintek.go.id/unitku/zona-integritas/2026-2235/dokumen/vi.a Pemutakhiran Data?file=2235-universitas-negeri-semarang/171-fakultas-ilmu-pendidikan/1771541502.pdf
2. 
https://inspirasidikti.kemdiktisaintek.go.id/unitku/zona-integritas/2026-2235/dokumen/VI a Sistem informasi kepgawaian?file=2235-universitas-negeri-semarang/171-fakultas-ilmu-pendidikan/1771541515.pdf
3. 
https://inspirasidikti.kemdiktisaintek.go.id/unitku/zona-integritas/2026-2235/dokumen/vi.a Pemutakhiran Data2?file=2235-universitas-negeri-semarang/171-fakultas-ilmu-pendidikan/1771541527.pdf
4. 
https://inspirasidikti.kemdiktisaintek.go.id/unitku/zona-integritas/2026-2235/dokumen/vi.a Undangan Update SISTER?file=2235-universitas-negeri-semarang/171-fakultas-ilmu-pendidikan/1771541538.pdf
5. 
https://inspirasidikti.kemdiktisaintek.go.id/unitku/zona-integritas/2026-2235/dokumen/vi.a Pembaharuan data unnes?file=2235-universitas-negeri-semarang/171-fakultas-ilmu-pendidikan/1771541552.pdf
</t>
  </si>
  <si>
    <t>Unit telah memutakhirkan data informasi kepegawaian secara berkala, melalui aplikasi My-Kepegawaian Unnes</t>
  </si>
  <si>
    <t>PENGUATAN AKUNTABILITAS</t>
  </si>
  <si>
    <t>Keterlibatan Pimpinan</t>
  </si>
  <si>
    <t>Unit kerja telah melibatkan pimpinan secara langsung pada saat penyusunan perencanaan</t>
  </si>
  <si>
    <t>a. Jika pimpinan selalu terlibat dalam seluruh tahapan penyusunan perencanaan
b. Jika pimpinan ikut terlibat dalam sebagian tahapan penyusunan perencanaan
c. Jika tidak ada keterlibatan pimpinan dalam penyusunan perencanaan (hanya menandatangani)</t>
  </si>
  <si>
    <t>1) Arahan Pimpinan Rapim Semester I 2023
2) Arahan Pimpinan Rapim Semester II Tahun 2023
3) Arahan Rektor Semester II 2024
4) Arahan Dekan Rapim FIPP Semester I 2024
5) Arahan Dekan Rapim FIPP Semester I 2025
6) Arahan Dekan Rapim FIPP Semester II 2025
7) Daftar Hadir Rapim Semester I 2024
8) Daftar Hadir Rapim Semester II 2023
9) Daftar Hadir Rapim Semester II 2024
10) Daftar Hadir Rapim Semester I 2025
11) Daftar Hadir Rapim Semester II 2025
12) Daftar hadir, berita acara penyusunan visi dan misi fakultas
13) Dokumentasi Rapat Pimpinan Semester I Tahun 2023
14) Dokumentasi Rapat Pimpinan Semester I Tahun 2024
15) Dokumentasi Rapat Pimpinan Semeter II Tahun 2024
16) Dokumentasi Rapat Pimpinan Semester I Tahun 2025
17) Dokumentasi Rapat Pimpinan Semeter II Tahun 2025
18) Notulensi Hasil Rapat Pimpinan Semester I 2024
19) Notulensi Hasil Rapat Pimpinan Semester II 2024
20) Notulensi Hasil Rapat Pimpinan Semester I 2025
21) Notulensi Hasil Rapat Pimpinan Semester II 2025
22) ST Rapim Semester I FIPP 2023
23) ST Rapim Semester II FIPP 2023
24) ST Rapim Semester I FIPP 2024
25) ST Rapim Semester II FIPP 2024
26) ST Rapim Semester I FIPP 2025
27) ST Rapim Semester II FIPP 2025
28) Undangan Rapim Semester I Tahun 2023
29) Undangan Rapim Semester II Tahun 2023
30) Undangan Rapim Semester I Tahun 2024
31) Undangan Rapim Semester II Tahun 2024
32) Undangan Rapim Semester I Tahun 2025
33) Undangan Rapim Semester II Tahun 2025
34) Penyusunan Renstra PM-REN-01 rev 03
35) PM-REN-02 Penyusunan Renop rev 03
36) Draft Hasil Penyusunan Perencanaan FIPP 2023
37) Draft Hasil Penyusunan Perencanaan FIPP 2024
38) Draft Hasil Penyusunan Perencanaan FIPP 2025</t>
  </si>
  <si>
    <t xml:space="preserve">1. 
Daftar Hadir Rapim Semester I 2025
2. 
Arahan Pimpinan Rapim Semester I 2023
3. 
Arahan Pimpinan Rapim Semester II Tahun 2023
4. 
Arahan Dekan Rapim FIPP Semester I 2024
5. 
Arahan Rektor Semester II 2024
6. 
Arahan Pimpinan Rapim Semester II 2025
7. 
Arahan Pimpinan Rapim Semester I 2025
8. 
Daftar Hadir Rapim Semester II 2023
9. 
Daftar Hadir Rapim Semester I 2024
10. 
Daftar Hadir Rapim Semester II 2024
11. 
Daftar Hadir Rapim Semester II 2025
12. 
Daftar hadir, berita acara penyusunan visi dan misi fakultas
13. 
Dokumentasi Rapat Pimpinan Semester I Tahun 2023
14. 
Dokumentasi Rapat Pimpinan Semester II Tahun 2024
15. 
Dokumentasi Rapat Pimpinan Semeter I Tahun 2024
16. 
Dokumentasi Rapim Semester I 2025
17. 
Dokumentasi Rapim Semester II 2025
18. 
ST Rapim Semester I FIPP 2023
19. 
ST Rapim Semester II 2023
20. 
Surat Tugas Rapim Semester I 2024
21. 
Surat Tugas Rapim Semester II 2024
22. 
ST Rapim Semester I Tahun 2025
23. 
ST Rapim Semester II 2025
24. 
Undangan Rapim Semester I Tahun 2023
25. 
Undangan Rapim Semester II Tahun 2023
26. 
Undangan Rapim Semester I 2024
27. 
Undangan Rapim Semester II 2024
28. 
Undangan Rapim Semseter I 2025
29. 
Undangan Rapim Semester II 2025
30. 
Penyusunan Renstra PM-REN-01 rev 03
31. 
PM-REN-02 Penyusunan Renop rev 03
32. 
Draft Hasil Penyusunan Perencanaan FIPP 2023
33. 
Dokumentasi Rapat Pimpinan Semester II Tahun 2024
34. 
Draft Hasil Penyusunan Perencanaan FIPP 2025
</t>
  </si>
  <si>
    <t xml:space="preserve">1. 
https://inspirasidikti.kemdiktisaintek.go.id/unitku/zona-integritas/2026-2235/dokumen/Daftar Hadir Rapim Semester I 2025?file=2235-universitas-negeri-semarang/171-fakultas-ilmu-pendidikan/1770955730.pdf
2. 
https://inspirasidikti.kemdiktisaintek.go.id/unitku/zona-integritas/2026-2235/dokumen/Arahan Pimpinan Rapim Semester I 2023?file=2235-universitas-negeri-semarang/171-fakultas-ilmu-pendidikan/1770953408.pdf
3. 
https://inspirasidikti.kemdiktisaintek.go.id/unitku/zona-integritas/2026-2235/dokumen/Arahan Pimpinan Rapim Semester II Tahun 2023?file=2235-universitas-negeri-semarang/171-fakultas-ilmu-pendidikan/1770953450.pdf
4. 
https://inspirasidikti.kemdiktisaintek.go.id/unitku/zona-integritas/2026-2235/dokumen/Arahan Dekan Rapim FIPP Semester I 2024?file=2235-universitas-negeri-semarang/171-fakultas-ilmu-pendidikan/1770953474.pdf
5. 
https://inspirasidikti.kemdiktisaintek.go.id/unitku/zona-integritas/2026-2235/dokumen/Arahan Rektor Semester II 2024?file=2235-universitas-negeri-semarang/171-fakultas-ilmu-pendidikan/1770953480.pdf
6. 
https://inspirasidikti.kemdiktisaintek.go.id/unitku/zona-integritas/2026-2235/dokumen/Arahan Pimpinan Rapim Semester II 2025?file=2235-universitas-negeri-semarang/171-fakultas-ilmu-pendidikan/1770954076.pdf
7. 
https://inspirasidikti.kemdiktisaintek.go.id/unitku/zona-integritas/2026-2235/dokumen/Arahan Pimpinan Rapim Semester I 2025?file=2235-universitas-negeri-semarang/171-fakultas-ilmu-pendidikan/1770954144.pdf
8. 
https://inspirasidikti.kemdiktisaintek.go.id/unitku/zona-integritas/2026-2235/dokumen/Daftar Hadir Rapim Semester II 2023?file=2235-universitas-negeri-semarang/171-fakultas-ilmu-pendidikan/1770954431.pdf
9. 
https://inspirasidikti.kemdiktisaintek.go.id/unitku/zona-integritas/2026-2235/dokumen/Daftar Hadir Rapim Semester I 2024?file=2235-universitas-negeri-semarang/171-fakultas-ilmu-pendidikan/1770954434.pdf
10. 
https://inspirasidikti.kemdiktisaintek.go.id/unitku/zona-integritas/2026-2235/dokumen/Daftar Hadir Rapim Semester II 2024?file=2235-universitas-negeri-semarang/171-fakultas-ilmu-pendidikan/1770954445.pdf
11. 
https://inspirasidikti.kemdiktisaintek.go.id/unitku/zona-integritas/2026-2235/dokumen/Daftar Hadir Rapim Semester II 2025?file=2235-universitas-negeri-semarang/171-fakultas-ilmu-pendidikan/1770955736.pdf
12. 
https://inspirasidikti.kemdiktisaintek.go.id/unitku/zona-integritas/2026-2235/dokumen/Daftar hadir, berita acara penyusunan visi dan misi fakultas?file=2235-universitas-negeri-semarang/171-fakultas-ilmu-pendidikan/1770955753.pdf
13. 
https://inspirasidikti.kemdiktisaintek.go.id/unitku/zona-integritas/2026-2235/dokumen/Dokumentasi Rapat Pimpinan Semester I Tahun 2023?file=2235-universitas-negeri-semarang/171-fakultas-ilmu-pendidikan/1770955765.pdf
14. 
https://inspirasidikti.kemdiktisaintek.go.id/unitku/zona-integritas/2026-2235/dokumen/Dokumentasi Rapat Pimpinan Semester II Tahun 2024?file=2235-universitas-negeri-semarang/171-fakultas-ilmu-pendidikan/1770955772.pdf
15. 
https://inspirasidikti.kemdiktisaintek.go.id/unitku/zona-integritas/2026-2235/dokumen/Dokumentasi Rapat Pimpinan Semeter I Tahun 2024?file=2235-universitas-negeri-semarang/171-fakultas-ilmu-pendidikan/1770955777.pdf
16. 
https://inspirasidikti.kemdiktisaintek.go.id/unitku/zona-integritas/2026-2235/dokumen/Dokumentasi Rapim Semester I 2025?file=2235-universitas-negeri-semarang/171-fakultas-ilmu-pendidikan/1770955782.pdf
17. 
https://inspirasidikti.kemdiktisaintek.go.id/unitku/zona-integritas/2026-2235/dokumen/Dokumentasi Rapim Semester II 2025?file=2235-universitas-negeri-semarang/171-fakultas-ilmu-pendidikan/1770955786.pdf
18. 
https://inspirasidikti.kemdiktisaintek.go.id/unitku/zona-integritas/2026-2235/dokumen/ST Rapim Semester I FIPP 2023?file=2235-universitas-negeri-semarang/171-fakultas-ilmu-pendidikan/1770955804.pdf
19. 
https://inspirasidikti.kemdiktisaintek.go.id/unitku/zona-integritas/2026-2235/dokumen/ST Rapim Semester II 2023?file=2235-universitas-negeri-semarang/171-fakultas-ilmu-pendidikan/1770955825.pdf
20. 
https://inspirasidikti.kemdiktisaintek.go.id/unitku/zona-integritas/2026-2235/dokumen/Surat Tugas Rapim Semester I 2024?file=2235-universitas-negeri-semarang/171-fakultas-ilmu-pendidikan/1770955894.pdf
21. 
https://inspirasidikti.kemdiktisaintek.go.id/unitku/zona-integritas/2026-2235/dokumen/Surat Tugas Rapim Semester II 2024?file=2235-universitas-negeri-semarang/171-fakultas-ilmu-pendidikan/1770955903.pdf
22. 
https://inspirasidikti.kemdiktisaintek.go.id/unitku/zona-integritas/2026-2235/dokumen/ST Rapim Semester I Tahun 2025?file=2235-universitas-negeri-semarang/171-fakultas-ilmu-pendidikan/1770955919.pdf
23. 
https://inspirasidikti.kemdiktisaintek.go.id/unitku/zona-integritas/2026-2235/dokumen/ST Rapim Semester II 2025?file=2235-universitas-negeri-semarang/171-fakultas-ilmu-pendidikan/1770955927.pdf
24. 
https://inspirasidikti.kemdiktisaintek.go.id/unitku/zona-integritas/2026-2235/dokumen/Undangan Rapim Semester I Tahun 2023?file=2235-universitas-negeri-semarang/171-fakultas-ilmu-pendidikan/1770955946.pdf
25. 
https://inspirasidikti.kemdiktisaintek.go.id/unitku/zona-integritas/2026-2235/dokumen/Undangan Rapim Semester II Tahun 2023?file=2235-universitas-negeri-semarang/171-fakultas-ilmu-pendidikan/1770955954.pdf
26. 
https://inspirasidikti.kemdiktisaintek.go.id/unitku/zona-integritas/2026-2235/dokumen/Undangan Rapim Semester I 2024?file=2235-universitas-negeri-semarang/171-fakultas-ilmu-pendidikan/1770955960.pdf
27. 
https://inspirasidikti.kemdiktisaintek.go.id/unitku/zona-integritas/2026-2235/dokumen/Undangan Rapim Semester II 2024?file=2235-universitas-negeri-semarang/171-fakultas-ilmu-pendidikan/1770955969.pdf
28. 
https://inspirasidikti.kemdiktisaintek.go.id/unitku/zona-integritas/2026-2235/dokumen/Undangan Rapim Semseter I 2025?file=2235-universitas-negeri-semarang/171-fakultas-ilmu-pendidikan/1770955982.pdf
29. 
https://inspirasidikti.kemdiktisaintek.go.id/unitku/zona-integritas/2026-2235/dokumen/Undangan Rapim Semester II 2025?file=2235-universitas-negeri-semarang/171-fakultas-ilmu-pendidikan/1770955999.pdf
30. 
https://inspirasidikti.kemdiktisaintek.go.id/unitku/zona-integritas/2026-2235/dokumen/Penyusunan Renstra PM-REN-01 rev 03?file=2235-universitas-negeri-semarang/171-fakultas-ilmu-pendidikan/1770956044.pdf
31. 
https://inspirasidikti.kemdiktisaintek.go.id/unitku/zona-integritas/2026-2235/dokumen/PM-REN-02 Penyusunan Renop rev 03?file=2235-universitas-negeri-semarang/171-fakultas-ilmu-pendidikan/1770956054.pdf
32. 
https://inspirasidikti.kemdiktisaintek.go.id/unitku/zona-integritas/2026-2235/dokumen/Draft Hasil Penyusunan Perencanaan FIPP 2023?file=2235-universitas-negeri-semarang/171-fakultas-ilmu-pendidikan/1770956068.pdf
33. 
https://inspirasidikti.kemdiktisaintek.go.id/unitku/zona-integritas/2026-2235/dokumen/Dokumentasi Rapat Pimpinan Semester II Tahun 2024?file=2235-universitas-negeri-semarang/171-fakultas-ilmu-pendidikan/1770956073.pdf
34. 
https://inspirasidikti.kemdiktisaintek.go.id/unitku/zona-integritas/2026-2235/dokumen/Draft Hasil Penyusunan Perencanaan FIPP 2025?file=2235-universitas-negeri-semarang/171-fakultas-ilmu-pendidikan/1770956083.pdf
</t>
  </si>
  <si>
    <t>Unit telah melibatkan pimpinan secara langsung dalam penyusunan perencanaan</t>
  </si>
  <si>
    <t>Unit kerja telah melibatkan secara langsung pimpinan saat penyusunan penetapan kinerja</t>
  </si>
  <si>
    <t>a. Jika pimpinan selalu terlibat dalam seluruh tahapan penyusunan perjanjian kinerja
b. Jika pimpinan terlibat dalam sebagian tahapan penyusunan perjanjian kinerja
c. Jika tidak ada keterlibatan pimpinan dalam penyusunan perjanjian kinerja</t>
  </si>
  <si>
    <t>1. Dokumentasi Raker 2023
2. Undangan Raker 2023
3. Surat tugas raker 2023
4. Daftar Hadir Raker 2023
5. Undangan Raker 2024
6. Daftar Hadir raker 2024
7. Arahan Pimpinan raker 2024
8. Surat Tugas Raker 2024
9. Notulensi Raker 2024
10. Dokumentasi Raker 2024
11. Undangan Raker 2025
12. Daftar Hadir raker 2025
13. Arahan Pimpinan raker 2025
14. Surat Tugas Raker 2025
15. Notulensi Raker 2025
16. Dokumentasi Raker 2025
17. Arahan Dekan Raker 2025
18. Perjanjian Kinerja Dekan FIPP 2023
19. Perjanjian Kinerja Dekan FIPP 2024
20. Perjanjian Kinerja Dekan FIPP 2025 
21. Renstra FIPP 2023-2028
22. Renstra UNNES 2023-2028
23) Arahan pimpinan Raker FIPP 2026
24) Arahan Dekan FIPP Raker 2026
25 Undangan Raker FIPP 2026
26) Surat Tugas Raker FIPP 2026
27) Notulensi Raker FIPP 2026
28) Daftar Hadir Raker FIPP 2026
29) Dokumentasi Raker FIPP 2026</t>
  </si>
  <si>
    <t xml:space="preserve">1. 
Dokumentasi Rapat Kerja FIPP Tahun 2026
2. 
Dokumentasi Rapat Kerja Tahun 2023
3. 
Undangan Rapat Kerja Tahun 2023 FIPP UNNES
4. 
ST Raker 2023
5. 
Daftar Hadir Raker 2023
6. 
Undangan Rapat Kerja 2024 FIPP UNNES
7. 
ST Peserta Raker 2024
8. 
Daftar Hadir Raker 2024
9. 
Dokumentasi Rapat Kerja Tahun 2024
10. 
Notulen Raker 2024 FIPP
11. 
Undangan Raker Tahun 2025 FIPP UNNES
12. 
ST Peserta Raker 2025
13. 
Dokumentasi Rapat Kerja Tahun 2025
14. 
Daftar Hadir Peserta Raker 2025
15. 
Notulen Raker FIPP 2025
16. 
Arahan Rektor_Raker FIPP 2024
17. 
Arahan Rektor_Raker FIPP 2025
18. 
ARAHAN DEKAN_RAKER FIPP 2025
19. 
Perjanjian Kinerja Dekan FIPP 2023
20. 
Perjanjian Kinerja Dekan FIPP 2024
21. 
Perjanjian Kinerja Dekan FIPP 2025
22. 
Renstra FIPP 2023-2028
23. 
Renstra UNNES 2023-2028
24. 
Arahan Rektor_Raker FIPP 2026
25. 
ARAHAN DEKAN_RAKER FIPP 2026
26. 
Undangan Raker FIPP Tahun 2026
27. 
Daftar Hadir Raker FIPP 2026
28. 
Notulen Raker FIPP 2026
29. 
ST Peserta Raker FIPP 2026
</t>
  </si>
  <si>
    <t xml:space="preserve">1. 
https://inspirasidikti.kemdiktisaintek.go.id/unitku/zona-integritas/2026-2235/dokumen/Dokumentasi Rapat Kerja FIPP Tahun 2026?file=2235-universitas-negeri-semarang/171-fakultas-ilmu-pendidikan/1771554234.pdf
2. 
https://inspirasidikti.kemdiktisaintek.go.id/unitku/zona-integritas/2026-2235/dokumen/Dokumentasi Rapat Kerja Tahun 2023?file=2235-universitas-negeri-semarang/171-fakultas-ilmu-pendidikan/1771379801.pdf
3. 
https://inspirasidikti.kemdiktisaintek.go.id/unitku/zona-integritas/2026-2235/dokumen/Undangan Rapat Kerja Tahun 2023 FIPP UNNES?file=2235-universitas-negeri-semarang/171-fakultas-ilmu-pendidikan/1771379812.pdf
4. 
https://inspirasidikti.kemdiktisaintek.go.id/unitku/zona-integritas/2026-2235/dokumen/ST Raker 2023?file=2235-universitas-negeri-semarang/171-fakultas-ilmu-pendidikan/1771379822.pdf
5. 
https://inspirasidikti.kemdiktisaintek.go.id/unitku/zona-integritas/2026-2235/dokumen/Daftar Hadir Raker 2023?file=2235-universitas-negeri-semarang/171-fakultas-ilmu-pendidikan/1771379841.pdf
6. 
https://inspirasidikti.kemdiktisaintek.go.id/unitku/zona-integritas/2026-2235/dokumen/Undangan Rapat Kerja 2024 FIPP UNNES?file=2235-universitas-negeri-semarang/171-fakultas-ilmu-pendidikan/1771379881.pdf
7. 
https://inspirasidikti.kemdiktisaintek.go.id/unitku/zona-integritas/2026-2235/dokumen/ST Peserta Raker 2024?file=2235-universitas-negeri-semarang/171-fakultas-ilmu-pendidikan/1771379889.pdf
8. 
https://inspirasidikti.kemdiktisaintek.go.id/unitku/zona-integritas/2026-2235/dokumen/Daftar Hadir Raker 2024?file=2235-universitas-negeri-semarang/171-fakultas-ilmu-pendidikan/1771379906.pdf
9. 
https://inspirasidikti.kemdiktisaintek.go.id/unitku/zona-integritas/2026-2235/dokumen/Dokumentasi Rapat Kerja Tahun 2024?file=2235-universitas-negeri-semarang/171-fakultas-ilmu-pendidikan/1771379911.pdf
10. 
https://inspirasidikti.kemdiktisaintek.go.id/unitku/zona-integritas/2026-2235/dokumen/Notulen Raker 2024 FIPP?file=2235-universitas-negeri-semarang/171-fakultas-ilmu-pendidikan/1771379933.pdf
11. 
https://inspirasidikti.kemdiktisaintek.go.id/unitku/zona-integritas/2026-2235/dokumen/Undangan Raker Tahun 2025 FIPP UNNES?file=2235-universitas-negeri-semarang/171-fakultas-ilmu-pendidikan/1771379954.pdf
12. 
https://inspirasidikti.kemdiktisaintek.go.id/unitku/zona-integritas/2026-2235/dokumen/ST Peserta Raker 2025?file=2235-universitas-negeri-semarang/171-fakultas-ilmu-pendidikan/1771379971.pdf
13. 
https://inspirasidikti.kemdiktisaintek.go.id/unitku/zona-integritas/2026-2235/dokumen/Dokumentasi Rapat Kerja Tahun 2025?file=2235-universitas-negeri-semarang/171-fakultas-ilmu-pendidikan/1771379981.pdf
14. 
https://inspirasidikti.kemdiktisaintek.go.id/unitku/zona-integritas/2026-2235/dokumen/Daftar Hadir Peserta Raker 2025?file=2235-universitas-negeri-semarang/171-fakultas-ilmu-pendidikan/1771379990.pdf
15. 
https://inspirasidikti.kemdiktisaintek.go.id/unitku/zona-integritas/2026-2235/dokumen/Notulen Raker FIPP 2025?file=2235-universitas-negeri-semarang/171-fakultas-ilmu-pendidikan/1771380000.pdf
16. 
https://inspirasidikti.kemdiktisaintek.go.id/unitku/zona-integritas/2026-2235/dokumen/Arahan Rektor_Raker FIPP 2024?file=2235-universitas-negeri-semarang/171-fakultas-ilmu-pendidikan/1771380037.pdf
17. 
https://inspirasidikti.kemdiktisaintek.go.id/unitku/zona-integritas/2026-2235/dokumen/Arahan Rektor_Raker FIPP 2025?file=2235-universitas-negeri-semarang/171-fakultas-ilmu-pendidikan/1771380045.pdf
18. 
https://inspirasidikti.kemdiktisaintek.go.id/unitku/zona-integritas/2026-2235/dokumen/ARAHAN DEKAN_RAKER FIPP 2025?file=2235-universitas-negeri-semarang/171-fakultas-ilmu-pendidikan/1771380059.pdf
19. 
https://inspirasidikti.kemdiktisaintek.go.id/unitku/zona-integritas/2026-2235/dokumen/Perjanjian Kinerja Dekan FIPP 2023?file=2235-universitas-negeri-semarang/171-fakultas-ilmu-pendidikan/1771380070.pdf
20. 
https://inspirasidikti.kemdiktisaintek.go.id/unitku/zona-integritas/2026-2235/dokumen/Perjanjian Kinerja Dekan FIPP 2024?file=2235-universitas-negeri-semarang/171-fakultas-ilmu-pendidikan/1771380074.pdf
21. 
https://inspirasidikti.kemdiktisaintek.go.id/unitku/zona-integritas/2026-2235/dokumen/Perjanjian Kinerja Dekan FIPP 2025?file=2235-universitas-negeri-semarang/171-fakultas-ilmu-pendidikan/1771380079.pdf
22. 
https://inspirasidikti.kemdiktisaintek.go.id/unitku/zona-integritas/2026-2235/dokumen/Renstra FIPP 2023-2028?file=2235-universitas-negeri-semarang/171-fakultas-ilmu-pendidikan/1771380089.pdf
23. 
https://inspirasidikti.kemdiktisaintek.go.id/unitku/zona-integritas/2026-2235/dokumen/Renstra UNNES 2023-2028?file=2235-universitas-negeri-semarang/171-fakultas-ilmu-pendidikan/1771380097.pdf
24. 
https://inspirasidikti.kemdiktisaintek.go.id/unitku/zona-integritas/2026-2235/dokumen/Arahan Rektor_Raker FIPP 2026?file=2235-universitas-negeri-semarang/171-fakultas-ilmu-pendidikan/1771552970.pdf
25. 
https://inspirasidikti.kemdiktisaintek.go.id/unitku/zona-integritas/2026-2235/dokumen/ARAHAN DEKAN_RAKER FIPP 2026?file=2235-universitas-negeri-semarang/171-fakultas-ilmu-pendidikan/1771552975.pdf
26. 
https://inspirasidikti.kemdiktisaintek.go.id/unitku/zona-integritas/2026-2235/dokumen/Undangan Raker FIPP Tahun 2026?file=2235-universitas-negeri-semarang/171-fakultas-ilmu-pendidikan/1771553006.pdf
27. 
https://inspirasidikti.kemdiktisaintek.go.id/unitku/zona-integritas/2026-2235/dokumen/Daftar Hadir Raker FIPP 2026?file=2235-universitas-negeri-semarang/171-fakultas-ilmu-pendidikan/1771553016.pdf
28. 
https://inspirasidikti.kemdiktisaintek.go.id/unitku/zona-integritas/2026-2235/dokumen/Notulen Raker FIPP 2026?file=2235-universitas-negeri-semarang/171-fakultas-ilmu-pendidikan/1771553039.pdf
29. 
https://inspirasidikti.kemdiktisaintek.go.id/unitku/zona-integritas/2026-2235/dokumen/ST Peserta Raker FIPP 2026?file=2235-universitas-negeri-semarang/171-fakultas-ilmu-pendidikan/1771553054.pdf
</t>
  </si>
  <si>
    <t>Unit kerja telah melibatkan pimpinan pada saat pemyusunan penetapan kinerja</t>
  </si>
  <si>
    <t>Pimpinan memantau pencapaian kinerja secara berkala</t>
  </si>
  <si>
    <t>a. Jika pimpinan selalu terlibat dalam seluruh pemantauan pencapaian kinerja dan menindaklanjuti hasil pemantauan
b. Jika pimpinan unit kerja terlibat dalam seluruh pemantauan pencapaian kinerja tetapi tidak ada tindak lanjut hasil pemantauan
c. Jika pimpinan unit kerja terlibat dalam sebagian pemantauan pencapaian kinerja
d. Jika tidak ada keterlibatan pimpinan dalam pemantauan pencapaian kinerja</t>
  </si>
  <si>
    <t>1.	Monev TW 1 2023
2.	Monev TW 2 2023
3.	Monev TW 3 2023
4.	Monev TW 4 2023
5.	Monev TW 1 2024
6.	Monev TW 2 2024
7.	Monev TW 3 2024
8.	Monev TW 4 2024
9.	PM Monev Kinerja Pelaksanaan Renop
10.	Rencana Tindak Lanjut PK Dekan FIPP Form TW 4 2024
11. Melengkapi Monev Triwulan 1-4 tahun 2025</t>
  </si>
  <si>
    <t xml:space="preserve">1. 
Laporan Monitoring Triwulan 3 Univ 2024
2. 
Monev FIPP TW 1 tahun 2023
3. 
Monev FIPP TW 1 tahun 2024
4. 
Monev FIPP TW 2 tahun 2023
5. 
Monev FIPP TW 2 tahun 2024
6. 
Monev FIPP TW 3 tahun 2023
7. 
Monev FIPP TW 3 tahun 2024
8. 
Monev FIPP TW 4 tahun 2024
9. 
PM Monev Kinerja Pelaksanaan Renop
10. 
Rencana Tindak Lanjut_PK Dekan FIPP_Form TW 4 2024
11. 
Hasil Monev Triwulan 1-4 Tahun 2025
</t>
  </si>
  <si>
    <t xml:space="preserve">1. 
https://inspirasidikti.kemdiktisaintek.go.id/unitku/zona-integritas/2026-2235/dokumen/Laporan Monitoring Triwulan 3 Univ 2024?file=2235-universitas-negeri-semarang/171-fakultas-ilmu-pendidikan/1771385710.pdf
2. 
https://inspirasidikti.kemdiktisaintek.go.id/unitku/zona-integritas/2026-2235/dokumen/Monev FIPP TW 1 tahun 2023?file=2235-universitas-negeri-semarang/171-fakultas-ilmu-pendidikan/1771385747.pdf
3. 
https://inspirasidikti.kemdiktisaintek.go.id/unitku/zona-integritas/2026-2235/dokumen/Monev FIPP TW 1 tahun 2024?file=2235-universitas-negeri-semarang/171-fakultas-ilmu-pendidikan/1771385751.pdf
4. 
https://inspirasidikti.kemdiktisaintek.go.id/unitku/zona-integritas/2026-2235/dokumen/Monev FIPP TW 2 tahun 2023?file=2235-universitas-negeri-semarang/171-fakultas-ilmu-pendidikan/1771385757.pdf
5. 
https://inspirasidikti.kemdiktisaintek.go.id/unitku/zona-integritas/2026-2235/dokumen/Monev FIPP TW 2 tahun 2024?file=2235-universitas-negeri-semarang/171-fakultas-ilmu-pendidikan/1771385766.pdf
6. 
https://inspirasidikti.kemdiktisaintek.go.id/unitku/zona-integritas/2026-2235/dokumen/Monev FIPP TW 3 tahun 2023?file=2235-universitas-negeri-semarang/171-fakultas-ilmu-pendidikan/1771385770.pdf
7. 
https://inspirasidikti.kemdiktisaintek.go.id/unitku/zona-integritas/2026-2235/dokumen/Monev FIPP TW 3 tahun 2024?file=2235-universitas-negeri-semarang/171-fakultas-ilmu-pendidikan/1771385775.pdf
8. 
https://inspirasidikti.kemdiktisaintek.go.id/unitku/zona-integritas/2026-2235/dokumen/Monev FIPP TW 4 tahun 2024?file=2235-universitas-negeri-semarang/171-fakultas-ilmu-pendidikan/1771385784.pdf
9. 
https://inspirasidikti.kemdiktisaintek.go.id/unitku/zona-integritas/2026-2235/dokumen/PM Monev Kinerja Pelaksanaan Renop?file=2235-universitas-negeri-semarang/171-fakultas-ilmu-pendidikan/1771385788.pdf
10. 
https://inspirasidikti.kemdiktisaintek.go.id/unitku/zona-integritas/2026-2235/dokumen/Rencana Tindak Lanjut_PK Dekan FIPP_Form TW 4 2024?file=2235-universitas-negeri-semarang/171-fakultas-ilmu-pendidikan/1771385792.pdf
11. 
https://inspirasidikti.kemdiktisaintek.go.id/unitku/zona-integritas/2026-2235/dokumen/Hasil Monev Triwulan 1-4 Tahun 2025?file=2235-universitas-negeri-semarang/171-fakultas-ilmu-pendidikan/1772608526.pdf
</t>
  </si>
  <si>
    <t>pimpinan memantau pencapaian  kinerja secara berkala</t>
  </si>
  <si>
    <t xml:space="preserve">Pengelolaan Akuntabilitas Kinerja </t>
  </si>
  <si>
    <t>Dokumen perencanaan kinerja sudah ada</t>
  </si>
  <si>
    <t>ya, jika unit kerja memiliki dokumen perencanaan kinerja lengkap</t>
  </si>
  <si>
    <t>1) Renstra UNNES 2023-2028
2) Renstra FIPP 2020-2024
3) RKAT UNNES 2024
4) RKAKL/DIPA FIPP 2024
5) Perjanjian Kinerja 2024
6) Rencana Alokasi Program dan Anggaran 2024
7) RKAT UNNES 2023
8) RKAKL/DIPA FIPP 2023
9) Perjanjian Kinerja 2023
10) Rencana Alokasi Program dan Anggaran 2023
11) Renstra FIPP 2023-2028
12) PK Dekan FIPP 2025
13) DPA FIPP 2025
14) RKA UK FIPP 2025
15. Rencana Kerja Program dan Anggaran FIPP 2025</t>
  </si>
  <si>
    <t xml:space="preserve">1. 
Rencana Alokasi Program dan Anggaran FIPP 2025
2. 
DPA FIP 2023
3. 
DPA FIPP 2024
4. 
DPA FIPP 2025
5. 
Perjanjian Kinerja Dekan FIPP 2023
6. 
Perjanjian Kinerja Dekan FIPP 2024
7. 
Perjanjian Kinerja Dekan FIPP 2025
8. 
Rencana Alokasi Program dan Anggaran FIPP 2024
9. 
Rencana Kerja Program dan Anggaran FIPP 2023
10. 
RKA FIPP 2025
11. 
RENSTRA FIP UNNES 2020-2024 Rev
12. 
RENSTRA FIPP 2023-2028
13. 
RKAT UNNES 2023
14. 
RKAT UNNES 2024
15. 
Renstra UNNES 2023-2028
</t>
  </si>
  <si>
    <t xml:space="preserve">1. 
https://inspirasidikti.kemdiktisaintek.go.id/unitku/zona-integritas/2026-2235/dokumen/Rencana Alokasi Program dan Anggaran FIPP 2025?file=2235-universitas-negeri-semarang/171-fakultas-ilmu-pendidikan/1771387209.pdf
2. 
https://inspirasidikti.kemdiktisaintek.go.id/unitku/zona-integritas/2026-2235/dokumen/DPA FIP 2023?file=2235-universitas-negeri-semarang/171-fakultas-ilmu-pendidikan/1771386050.pdf
3. 
https://inspirasidikti.kemdiktisaintek.go.id/unitku/zona-integritas/2026-2235/dokumen/DPA FIPP 2024?file=2235-universitas-negeri-semarang/171-fakultas-ilmu-pendidikan/1771386053.pdf
4. 
https://inspirasidikti.kemdiktisaintek.go.id/unitku/zona-integritas/2026-2235/dokumen/DPA FIPP 2025?file=2235-universitas-negeri-semarang/171-fakultas-ilmu-pendidikan/1771386058.pdf
5. 
https://inspirasidikti.kemdiktisaintek.go.id/unitku/zona-integritas/2026-2235/dokumen/Perjanjian Kinerja Dekan FIPP 2023?file=2235-universitas-negeri-semarang/171-fakultas-ilmu-pendidikan/1771386063.pdf
6. 
https://inspirasidikti.kemdiktisaintek.go.id/unitku/zona-integritas/2026-2235/dokumen/Perjanjian Kinerja Dekan FIPP 2024?file=2235-universitas-negeri-semarang/171-fakultas-ilmu-pendidikan/1771386066.pdf
7. 
https://inspirasidikti.kemdiktisaintek.go.id/unitku/zona-integritas/2026-2235/dokumen/Perjanjian Kinerja Dekan FIPP 2025?file=2235-universitas-negeri-semarang/171-fakultas-ilmu-pendidikan/1771386070.pdf
8. 
https://inspirasidikti.kemdiktisaintek.go.id/unitku/zona-integritas/2026-2235/dokumen/Rencana Alokasi Program dan Anggaran FIPP 2024?file=2235-universitas-negeri-semarang/171-fakultas-ilmu-pendidikan/1771386073.pdf
9. 
https://inspirasidikti.kemdiktisaintek.go.id/unitku/zona-integritas/2026-2235/dokumen/Rencana Kerja Program dan Anggaran FIPP 2023?file=2235-universitas-negeri-semarang/171-fakultas-ilmu-pendidikan/1771386117.pdf
10. 
https://inspirasidikti.kemdiktisaintek.go.id/unitku/zona-integritas/2026-2235/dokumen/RKA FIPP 2025?file=2235-universitas-negeri-semarang/171-fakultas-ilmu-pendidikan/1771388735.pdf
11. 
https://inspirasidikti.kemdiktisaintek.go.id/unitku/zona-integritas/2026-2235/dokumen/RENSTRA FIP UNNES 2020-2024 Rev?file=2235-universitas-negeri-semarang/171-fakultas-ilmu-pendidikan/1771387219.pdf
12. 
https://inspirasidikti.kemdiktisaintek.go.id/unitku/zona-integritas/2026-2235/dokumen/RENSTRA FIPP 2023-2028?file=2235-universitas-negeri-semarang/171-fakultas-ilmu-pendidikan/1771387228.pdf
13. 
https://inspirasidikti.kemdiktisaintek.go.id/unitku/zona-integritas/2026-2235/dokumen/RKAT UNNES 2023?file=2235-universitas-negeri-semarang/171-fakultas-ilmu-pendidikan/1771388740.pdf
14. 
https://inspirasidikti.kemdiktisaintek.go.id/unitku/zona-integritas/2026-2235/dokumen/RKAT UNNES 2024?file=2235-universitas-negeri-semarang/171-fakultas-ilmu-pendidikan/1771388743.pdf
15. 
https://inspirasidikti.kemdiktisaintek.go.id/unitku/zona-integritas/2026-2235/dokumen/Renstra UNNES 2023-2028?file=2235-universitas-negeri-semarang/171-fakultas-ilmu-pendidikan/1771387234.pdf
</t>
  </si>
  <si>
    <t>Perencanaan kinerja telah berorientasi hasil</t>
  </si>
  <si>
    <t>ya, jika perencanaan kinerja telah berorientasi hasil</t>
  </si>
  <si>
    <t>1) Tangkap layar Web Sarana Pengaduan Pelanggaran_Whistle Blowing
2) Matrik Kerja Penanganan Anti Korupsi dan Gratifikasi
3) Undangan dan Dokumen RKA UK FIPP 2024
4) SOP Pengaktifan Kembali Tunjangan Serdos
5) SOP Pemeliharaan Sarana dan Prasarana
6) SOP Pegawai Berprestasi
7) SOP Pengajuan Izin Studi Lanjut
8) SOP Cuti Tahunan
9) SOP Usulan Penghapusan Barang
10) SOP Usulan Penghargaan Satyalancana Karyasatya
11) SOP Usulan Pensiun
12) SOP Pengadaan Barang
14) SOP Usul Kenaikan Pangkat Tenaga Pendidik
15) SOP Usulan Kenaikan Pangkat/Jabatan Dosen
16) SOP Surat Masuk
17) SOP Persediaan Barang Masuk
18) SOP Persediaan Barang Keluar
19) SOP Pengarsipan Dokumen
20) SOP Pencatatan dan Pelabelan BMN
21) SOP Proses CPNS ke PNS
22) SOP Peminjaman Alat dan Tempat
23) SOP Pengaktifan Kembali Dosen Tugas Belajar
24) SOP Pemberhentian Tunjangan Dosen Tugas Belajar
25) DPA FIPP 2023
26) DPA FIPP 2024
27) DPA FIPP 2025
28) RKAT UNNES 2023
29) RKAT UNNES 2024
30) RKA FIPP 2023
31) RKA FIPP 2024
32) RKA FIPP 2025
33) Melengkapi data Renstra FIPP 2023-2028 sebagai perencanaan kinerja yang berorientasi pada out put nya atau hasil
34) Melengkapi data Renstra ZI FIPP 2023-2027 sebagai perencanaan kinerja yang berorientasi pada out put nya atau hasil</t>
  </si>
  <si>
    <t xml:space="preserve">1. 
RENSTRA FIPP 2023-2028
2. 
SOP Cuti Tahunan
3. 
SOP Pemberhentian Tunjangan Dosen Tugas Belajar
4. 
SOP Pemeliharaan Sarana dan Prasarana
5. 
SOP Peminjaman Alat dan Tempat
6. 
SOP Pencatatan dan Pelabelan BMN
7. 
SOP Pengadaan Barang
8. 
SOP Pengajuan Izin Studi Lanjut
9. 
SOP Pengaktifan Kembali Dosen Tugas Belajar
10. 
SOP Pengaktifan Kembali Tunjangan Serdos
11. 
SOP Pengarsipan Dokumen
12. 
SOP Persediaan Barang Keluar
13. 
SOP Persediaan Barang Masuk
14. 
SOP Proses CPNS ke PNS
15. 
SOP Surat Masuk
16. 
SOP Usul Kenaikan Pangkat Tenaga Pendidik
17. 
SOP Usulan Kenaikan PangkatJabatan Dosen
18. 
SOP Usulan Penghapusan Barang
19. 
SOP Usulan Penghargaan Satyalancana
20. 
SOP Usulan Pensiun
21. 
DPA FIP 2023
22. 
DPA FIPP 2024
23. 
DPA FIPP 2025
24. 
Matrik Kerja Penanganan Anti Korupsi dan Gratifikasi
25. 
Rencana Kerja Program dan Anggaran FIPP 2023
26. 
Rencana Kerja Program dan Anggaran FIPP 2024
27. 
Rencana Kerja Program dan Anggaran FIPP 2025
28. 
RKAT UNNES 2023
29. 
RKAT UNNES 2024
30. 
Tangkap layar Web Sarana Pengaduan Pelanggaran_Whistle Blowing
31. 
RENSTRA Zona Integritas FIPP 2023-2027
</t>
  </si>
  <si>
    <t xml:space="preserve">1. 
https://inspirasidikti.kemdiktisaintek.go.id/unitku/zona-integritas/2026-2235/dokumen/RENSTRA FIPP 2023-2028?file=2235-universitas-negeri-semarang/171-fakultas-ilmu-pendidikan/1772616143.pdf
2. 
https://inspirasidikti.kemdiktisaintek.go.id/unitku/zona-integritas/2026-2235/dokumen/SOP Cuti Tahunan?file=2235-universitas-negeri-semarang/171-fakultas-ilmu-pendidikan/1771389218.pdf
3. 
https://inspirasidikti.kemdiktisaintek.go.id/unitku/zona-integritas/2026-2235/dokumen/SOP Pemberhentian Tunjangan Dosen Tugas Belajar?file=2235-universitas-negeri-semarang/171-fakultas-ilmu-pendidikan/1771389239.pdf
4. 
https://inspirasidikti.kemdiktisaintek.go.id/unitku/zona-integritas/2026-2235/dokumen/SOP Pemeliharaan Sarana dan Prasarana?file=2235-universitas-negeri-semarang/171-fakultas-ilmu-pendidikan/1771389247.pdf
5. 
https://inspirasidikti.kemdiktisaintek.go.id/unitku/zona-integritas/2026-2235/dokumen/SOP Peminjaman Alat dan Tempat?file=2235-universitas-negeri-semarang/171-fakultas-ilmu-pendidikan/1771389255.pdf
6. 
https://inspirasidikti.kemdiktisaintek.go.id/unitku/zona-integritas/2026-2235/dokumen/SOP Pencatatan dan Pelabelan BMN?file=2235-universitas-negeri-semarang/171-fakultas-ilmu-pendidikan/1771389259.pdf
7. 
https://inspirasidikti.kemdiktisaintek.go.id/unitku/zona-integritas/2026-2235/dokumen/SOP Pengadaan Barang?file=2235-universitas-negeri-semarang/171-fakultas-ilmu-pendidikan/1771389265.pdf
8. 
https://inspirasidikti.kemdiktisaintek.go.id/unitku/zona-integritas/2026-2235/dokumen/SOP Pengajuan Izin Studi Lanjut?file=2235-universitas-negeri-semarang/171-fakultas-ilmu-pendidikan/1771389270.pdf
9. 
https://inspirasidikti.kemdiktisaintek.go.id/unitku/zona-integritas/2026-2235/dokumen/SOP Pengaktifan Kembali Dosen Tugas Belajar?file=2235-universitas-negeri-semarang/171-fakultas-ilmu-pendidikan/1771389275.pdf
10. 
https://inspirasidikti.kemdiktisaintek.go.id/unitku/zona-integritas/2026-2235/dokumen/SOP Pengaktifan Kembali Tunjangan Serdos?file=2235-universitas-negeri-semarang/171-fakultas-ilmu-pendidikan/1771389283.pdf
11. 
https://inspirasidikti.kemdiktisaintek.go.id/unitku/zona-integritas/2026-2235/dokumen/SOP Pengarsipan Dokumen?file=2235-universitas-negeri-semarang/171-fakultas-ilmu-pendidikan/1771389289.pdf
12. 
https://inspirasidikti.kemdiktisaintek.go.id/unitku/zona-integritas/2026-2235/dokumen/SOP Persediaan Barang Keluar?file=2235-universitas-negeri-semarang/171-fakultas-ilmu-pendidikan/1771389294.pdf
13. 
https://inspirasidikti.kemdiktisaintek.go.id/unitku/zona-integritas/2026-2235/dokumen/SOP Persediaan Barang Masuk?file=2235-universitas-negeri-semarang/171-fakultas-ilmu-pendidikan/1771389300.pdf
14. 
https://inspirasidikti.kemdiktisaintek.go.id/unitku/zona-integritas/2026-2235/dokumen/SOP Proses CPNS ke PNS?file=2235-universitas-negeri-semarang/171-fakultas-ilmu-pendidikan/1771389305.pdf
15. 
https://inspirasidikti.kemdiktisaintek.go.id/unitku/zona-integritas/2026-2235/dokumen/SOP Surat Masuk?file=2235-universitas-negeri-semarang/171-fakultas-ilmu-pendidikan/1771389309.pdf
16. 
https://inspirasidikti.kemdiktisaintek.go.id/unitku/zona-integritas/2026-2235/dokumen/SOP Usul Kenaikan Pangkat Tenaga Pendidik?file=2235-universitas-negeri-semarang/171-fakultas-ilmu-pendidikan/1771389314.pdf
17. 
https://inspirasidikti.kemdiktisaintek.go.id/unitku/zona-integritas/2026-2235/dokumen/SOP Usulan Kenaikan PangkatJabatan Dosen?file=2235-universitas-negeri-semarang/171-fakultas-ilmu-pendidikan/1771389319.pdf
18. 
https://inspirasidikti.kemdiktisaintek.go.id/unitku/zona-integritas/2026-2235/dokumen/SOP Usulan Penghapusan Barang?file=2235-universitas-negeri-semarang/171-fakultas-ilmu-pendidikan/1771389324.pdf
19. 
https://inspirasidikti.kemdiktisaintek.go.id/unitku/zona-integritas/2026-2235/dokumen/SOP Usulan Penghargaan Satyalancana?file=2235-universitas-negeri-semarang/171-fakultas-ilmu-pendidikan/1771389359.pdf
20. 
https://inspirasidikti.kemdiktisaintek.go.id/unitku/zona-integritas/2026-2235/dokumen/SOP Usulan Pensiun?file=2235-universitas-negeri-semarang/171-fakultas-ilmu-pendidikan/1771389363.pdf
21. 
https://inspirasidikti.kemdiktisaintek.go.id/unitku/zona-integritas/2026-2235/dokumen/DPA FIP 2023?file=2235-universitas-negeri-semarang/171-fakultas-ilmu-pendidikan/1771389420.pdf
22. 
https://inspirasidikti.kemdiktisaintek.go.id/unitku/zona-integritas/2026-2235/dokumen/DPA FIPP 2024?file=2235-universitas-negeri-semarang/171-fakultas-ilmu-pendidikan/1771389423.pdf
23. 
https://inspirasidikti.kemdiktisaintek.go.id/unitku/zona-integritas/2026-2235/dokumen/DPA FIPP 2025?file=2235-universitas-negeri-semarang/171-fakultas-ilmu-pendidikan/1771389428.pdf
24. 
https://inspirasidikti.kemdiktisaintek.go.id/unitku/zona-integritas/2026-2235/dokumen/Matrik Kerja Penanganan Anti Korupsi dan Gratifikasi?file=2235-universitas-negeri-semarang/171-fakultas-ilmu-pendidikan/1771389442.pdf
25. 
https://inspirasidikti.kemdiktisaintek.go.id/unitku/zona-integritas/2026-2235/dokumen/Rencana Kerja Program dan Anggaran FIPP 2023?file=2235-universitas-negeri-semarang/171-fakultas-ilmu-pendidikan/1771389447.pdf
26. 
https://inspirasidikti.kemdiktisaintek.go.id/unitku/zona-integritas/2026-2235/dokumen/Rencana Kerja Program dan Anggaran FIPP 2024?file=2235-universitas-negeri-semarang/171-fakultas-ilmu-pendidikan/1771389459.pdf
27. 
https://inspirasidikti.kemdiktisaintek.go.id/unitku/zona-integritas/2026-2235/dokumen/Rencana Kerja Program dan Anggaran FIPP 2025?file=2235-universitas-negeri-semarang/171-fakultas-ilmu-pendidikan/1771389463.pdf
28. 
https://inspirasidikti.kemdiktisaintek.go.id/unitku/zona-integritas/2026-2235/dokumen/RKAT UNNES 2023?file=2235-universitas-negeri-semarang/171-fakultas-ilmu-pendidikan/1771389469.pdf
29. 
https://inspirasidikti.kemdiktisaintek.go.id/unitku/zona-integritas/2026-2235/dokumen/RKAT UNNES 2024?file=2235-universitas-negeri-semarang/171-fakultas-ilmu-pendidikan/1771389472.pdf
30. 
https://inspirasidikti.kemdiktisaintek.go.id/unitku/zona-integritas/2026-2235/dokumen/Tangkap layar Web Sarana Pengaduan Pelanggaran_Whistle Blowing?file=2235-universitas-negeri-semarang/171-fakultas-ilmu-pendidikan/1771389476.pdf
31. 
https://inspirasidikti.kemdiktisaintek.go.id/unitku/zona-integritas/2026-2235/dokumen/RENSTRA Zona Integritas FIPP 2023-2027?file=2235-universitas-negeri-semarang/171-fakultas-ilmu-pendidikan/1772616135.pdf
</t>
  </si>
  <si>
    <t>Tambahkan dokumen perencanaan kinerja  yang out put nya pada hasil</t>
  </si>
  <si>
    <t>Terdapat penetapan Indikator Kinerja Utama (IKU)</t>
  </si>
  <si>
    <t>ya, jika unit kerja memiliki IKU</t>
  </si>
  <si>
    <t>1. Penetapan IKU FIPP 2024 
2. PAK-IKU Kepala laboratorium Terpadu 2024 
3. PAK-IKU Koordinator Prodi BK S1 2024 
4. PAK-IKU Koordinator Prodi BK S2 2024 
5. PAK-IKU Koordinator Prodi BK S3 2024 
6. PAK-IKU Koordinator Prodi PG PAUD S1 2024 
7. PAK-IKU Koordinator Prodi PAUD S2 2024 
8. PAK-IKU Koordinator Prodi PGSD S1 2024 
9. PAK-IKU Koordinator Prodi PK S2 2024 
10. PAK-IKU Koordinator Prodi TP S1 2024 
11. PAK-IKU Koordinator Prodi PLS S1 dan S2 2024 
12. PAK-IKU Koordinator Prodi Psikologi 2024 
13. PAK-IKU Prodi PPK 2024 
14. Penetapan IKU FIPP 2025 
15. PAK-IKU Kepala laboratorium Terpadu 2025 
16. PAK-IKU Koordinator Prodi BK S1 2025 
17. PAK-IKU Koordinator Prodi BK S2 2025 
18. PAK-IKU Koordinator Prodi BK S3 2025 
19. PAK-IKU Koordinator Prodi PG PAUD S1 2025 
20. PAK-IKU Koordinator Prodi PAUD S2 2025 
21. PAK-IKU Koordinator Prodi PGSD S1 2025 
22. PAK-IKU Koordinator Prodi PK S2 2025 
23. PAK-IKU Koordinator Prodi TP S1 2025 
24. PAK-IKU Koordinator Prodi PLS S1 dan S2 2025 
25. PAK-IKU Koordinator Prodi Psikologi 2025 
26. PAK-IKU Prodi PPK 2025 
27. Penetapan IKU FIPP 2023 
28.PAK Kalab BK 2023 
29.PAK Kalab PG PAUD 2023 
30.PAK Kalab PGSD 2023 
31. PAK Kalab PLS 2023 
32. PAK Kalab Psi 2023 
33. PAK Kalab TP 2023 
34. PAK Koordinator TU 2023 
35. PAK Koorprodi Prodi BK 2023 
36. PAK Koorprodi Prodi KTP 2023 
37. PAK Koorprodi Prodi PG PAUD 2023 
38. PAK Koorprodi Prodi PGSD 2023 
39. PAK Koorprodi Prodi PLS 2023 
40. PAK Koorprodi Prodi PPK 2023 
41. PAK Koorprodi Prodi Psikologi 2023 
42. PAK Sekjur BK 2023 
43. PAK Sekjur PG PAUD 2023 
44. PAK Sekjur PGSD 2023 
45. PAK Sekjur PLS 2023 
46. PAK Sekjur PSI 2023 
47. PAK Sekjur TP 2023 
48. PAK Subkoor Akademik 2023 
49. PAK Subkoor Umpeg 2023 
50. PAK Subkor Akutansi 2023 
51. PAK Subkor Keuangan2023 
52. PAK WD1 2023 
53. PAK WD2 2023 
54. PAK WD3 2023</t>
  </si>
  <si>
    <t xml:space="preserve">1. 
PAK Kalab PG PAUD 2023
2. 
PAK-IKU Koordinator Prodi BK S2 2024
3. 
PAK-IKU Koordinator Prodi BK S3 2024
4. 
PAK-IKU Koordinator Prodi PAUD S2 2024
5. 
PAK-IKU Koordinator Prodi PG PAUD S1 2024
6. 
PAK-IKU Koordinator Prodi PGSD S1 2024
7. 
PAK-IKU Koordinator Prodi PK S2 2024
8. 
PAK-IKU Koordinator Prodi PLS S1 dan S2 2024
9. 
PAK-IKU Koordinator Prodi Psikologi 2024
10. 
PAK-IKU Koordinator Prodi TP S1 2024
11. 
PAK-IKU Prodi PPK 2024
12. 
penetapan IKU FIPP 2024
13. 
PAK-IKU Adm Akademik dan Kemahasiswaan FIPP 2025
14. 
PAK-IKU Adm Keuangan dan Bisnis FIPP 2025
15. 
PAK-IKU Adm, Umum, SDM, Kerjasama FIPP 2025
16. 
PAK-IKU Kapala Lab Terpadu FIPP 2025
17. 
PAK-IKU Koorprodi BK S1 2025
18. 
PAK-IKU Koorprodi BK S2 2025
19. 
PAK-IKU Koorprodi BK S3 2025
20. 
PAK-IKU Koorprodi KTP S1 2025
21. 
PAK-IKU Koorprodi PGSD 2025
22. 
PAK-IKU Koorprodi PK S2 2025
23. 
PAK-IKU Koorprodi PNF S1 2025
24. 
PAK-IKU Koorprodi PPK 2025
25. 
PAK-IKU Koorprodi Psikologi 2025
26. 
PAK-IKU Koorprodi PSL S2 2025
27. 
PAK-IKU Koorprodi S1 PGPAUD 2025
28. 
PAK-IKU Koorprodi S2 PAUD 2025
29. 
PAK-IKU WD 1 FIPP 2025
30. 
PAK-IKU WD 3 FIPP 2025
31. 
PAK Kalab PGSD 2023
32. 
PAK Kalab PLS 2023
33. 
PAK Kalab Psi 2023
34. 
PAK Kalab TP 2023
35. 
PAK-IKU Kepala laboratorium Terpadu 2024
36. 
PAK Koordinator TU 2023
37. 
PAK Koorprodi Prodi BK 2023
38. 
PAK Koorprodi Prodi KTP 2023
39. 
PAK Koorprodi Prodi PG PAUD 2023
40. 
PAK Koorprodi Prodi PGSD 2023
41. 
PAK Koorprodi Prodi PLS 2023
42. 
PAK Koorprodi Prodi PPK 2023
43. 
PAK Koorprodi Prodi Psikologi 2023
44. 
PAK Sekjur BK 2023
45. 
PAK Sekjur PG PAUD 2023
46. 
PAK Sekjur PGSD 2023
47. 
PAK Sekjur PLS 2023
48. 
PAK Sekjur PSI 2023
49. 
PAK Sekjur TP 2023
50. 
PAK Subkoor Akademik 2023
51. 
PAK Subkoor Umpeg 2023
52. 
PAK Subkor Akutansi 2023
53. 
PAK Subkor Keuangan2023
54. 
PAK WD1 2023
55. 
PAK WD2 2023
56. 
PAK WD3 2023
57. 
PAK-IKU Koordinator Prodi BK S1 2024
</t>
  </si>
  <si>
    <t xml:space="preserve">1. 
https://inspirasidikti.kemdiktisaintek.go.id/unitku/zona-integritas/2026-2235/dokumen/PAK Kalab PG PAUD 2023?file=2235-universitas-negeri-semarang/171-fakultas-ilmu-pendidikan/1771389874.pdf
2. 
https://inspirasidikti.kemdiktisaintek.go.id/unitku/zona-integritas/2026-2235/dokumen/PAK-IKU Koordinator Prodi BK S2 2024?file=2235-universitas-negeri-semarang/171-fakultas-ilmu-pendidikan/1771390134.pdf
3. 
https://inspirasidikti.kemdiktisaintek.go.id/unitku/zona-integritas/2026-2235/dokumen/PAK-IKU Koordinator Prodi BK S3 2024?file=2235-universitas-negeri-semarang/171-fakultas-ilmu-pendidikan/1771390139.pdf
4. 
https://inspirasidikti.kemdiktisaintek.go.id/unitku/zona-integritas/2026-2235/dokumen/PAK-IKU Koordinator Prodi PAUD S2 2024?file=2235-universitas-negeri-semarang/171-fakultas-ilmu-pendidikan/1771390148.pdf
5. 
https://inspirasidikti.kemdiktisaintek.go.id/unitku/zona-integritas/2026-2235/dokumen/PAK-IKU Koordinator Prodi PG PAUD S1 2024?file=2235-universitas-negeri-semarang/171-fakultas-ilmu-pendidikan/1771390157.pdf
6. 
https://inspirasidikti.kemdiktisaintek.go.id/unitku/zona-integritas/2026-2235/dokumen/PAK-IKU Koordinator Prodi PGSD S1 2024?file=2235-universitas-negeri-semarang/171-fakultas-ilmu-pendidikan/1771390163.pdf
7. 
https://inspirasidikti.kemdiktisaintek.go.id/unitku/zona-integritas/2026-2235/dokumen/PAK-IKU Koordinator Prodi PK S2 2024?file=2235-universitas-negeri-semarang/171-fakultas-ilmu-pendidikan/1771390170.pdf
8. 
https://inspirasidikti.kemdiktisaintek.go.id/unitku/zona-integritas/2026-2235/dokumen/PAK-IKU Koordinator Prodi PLS S1 dan S2 2024?file=2235-universitas-negeri-semarang/171-fakultas-ilmu-pendidikan/1771390176.pdf
9. 
https://inspirasidikti.kemdiktisaintek.go.id/unitku/zona-integritas/2026-2235/dokumen/PAK-IKU Koordinator Prodi Psikologi 2024?file=2235-universitas-negeri-semarang/171-fakultas-ilmu-pendidikan/1771390179.pdf
10. 
https://inspirasidikti.kemdiktisaintek.go.id/unitku/zona-integritas/2026-2235/dokumen/PAK-IKU Koordinator Prodi TP S1 2024?file=2235-universitas-negeri-semarang/171-fakultas-ilmu-pendidikan/1771390183.pdf
11. 
https://inspirasidikti.kemdiktisaintek.go.id/unitku/zona-integritas/2026-2235/dokumen/PAK-IKU Prodi PPK 2024?file=2235-universitas-negeri-semarang/171-fakultas-ilmu-pendidikan/1771390188.pdf
12. 
https://inspirasidikti.kemdiktisaintek.go.id/unitku/zona-integritas/2026-2235/dokumen/penetapan IKU FIPP 2024?file=2235-universitas-negeri-semarang/171-fakultas-ilmu-pendidikan/1771390196.pdf
13. 
https://inspirasidikti.kemdiktisaintek.go.id/unitku/zona-integritas/2026-2235/dokumen/PAK-IKU Adm Akademik dan Kemahasiswaan FIPP 2025?file=2235-universitas-negeri-semarang/171-fakultas-ilmu-pendidikan/1771390238.pdf
14. 
https://inspirasidikti.kemdiktisaintek.go.id/unitku/zona-integritas/2026-2235/dokumen/PAK-IKU Adm Keuangan dan Bisnis FIPP 2025?file=2235-universitas-negeri-semarang/171-fakultas-ilmu-pendidikan/1771390250.pdf
15. 
https://inspirasidikti.kemdiktisaintek.go.id/unitku/zona-integritas/2026-2235/dokumen/PAK-IKU Adm, Umum, SDM, Kerjasama FIPP 2025?file=2235-universitas-negeri-semarang/171-fakultas-ilmu-pendidikan/1771390257.pdf
16. 
https://inspirasidikti.kemdiktisaintek.go.id/unitku/zona-integritas/2026-2235/dokumen/PAK-IKU Kapala Lab Terpadu FIPP 2025?file=2235-universitas-negeri-semarang/171-fakultas-ilmu-pendidikan/1771390268.pdf
17. 
https://inspirasidikti.kemdiktisaintek.go.id/unitku/zona-integritas/2026-2235/dokumen/PAK-IKU Koorprodi BK S1 2025?file=2235-universitas-negeri-semarang/171-fakultas-ilmu-pendidikan/1771390276.pdf
18. 
https://inspirasidikti.kemdiktisaintek.go.id/unitku/zona-integritas/2026-2235/dokumen/PAK-IKU Koorprodi BK S2 2025?file=2235-universitas-negeri-semarang/171-fakultas-ilmu-pendidikan/1771390280.pdf
19. 
https://inspirasidikti.kemdiktisaintek.go.id/unitku/zona-integritas/2026-2235/dokumen/PAK-IKU Koorprodi BK S3 2025?file=2235-universitas-negeri-semarang/171-fakultas-ilmu-pendidikan/1771390284.pdf
20. 
https://inspirasidikti.kemdiktisaintek.go.id/unitku/zona-integritas/2026-2235/dokumen/PAK-IKU Koorprodi KTP S1 2025?file=2235-universitas-negeri-semarang/171-fakultas-ilmu-pendidikan/1771390291.pdf
21. 
https://inspirasidikti.kemdiktisaintek.go.id/unitku/zona-integritas/2026-2235/dokumen/PAK-IKU Koorprodi PGSD 2025?file=2235-universitas-negeri-semarang/171-fakultas-ilmu-pendidikan/1771390296.pdf
22. 
https://inspirasidikti.kemdiktisaintek.go.id/unitku/zona-integritas/2026-2235/dokumen/PAK-IKU Koorprodi PK S2 2025?file=2235-universitas-negeri-semarang/171-fakultas-ilmu-pendidikan/1771390301.pdf
23. 
https://inspirasidikti.kemdiktisaintek.go.id/unitku/zona-integritas/2026-2235/dokumen/PAK-IKU Koorprodi PNF S1 2025?file=2235-universitas-negeri-semarang/171-fakultas-ilmu-pendidikan/1771390306.pdf
24. 
https://inspirasidikti.kemdiktisaintek.go.id/unitku/zona-integritas/2026-2235/dokumen/PAK-IKU Koorprodi PPK 2025?file=2235-universitas-negeri-semarang/171-fakultas-ilmu-pendidikan/1771390314.pdf
25. 
https://inspirasidikti.kemdiktisaintek.go.id/unitku/zona-integritas/2026-2235/dokumen/PAK-IKU Koorprodi Psikologi 2025?file=2235-universitas-negeri-semarang/171-fakultas-ilmu-pendidikan/1771390319.pdf
26. 
https://inspirasidikti.kemdiktisaintek.go.id/unitku/zona-integritas/2026-2235/dokumen/PAK-IKU Koorprodi PSL S2 2025?file=2235-universitas-negeri-semarang/171-fakultas-ilmu-pendidikan/1771390328.pdf
27. 
https://inspirasidikti.kemdiktisaintek.go.id/unitku/zona-integritas/2026-2235/dokumen/PAK-IKU Koorprodi S1 PGPAUD 2025?file=2235-universitas-negeri-semarang/171-fakultas-ilmu-pendidikan/1771390395.pdf
28. 
https://inspirasidikti.kemdiktisaintek.go.id/unitku/zona-integritas/2026-2235/dokumen/PAK-IKU Koorprodi S2 PAUD 2025?file=2235-universitas-negeri-semarang/171-fakultas-ilmu-pendidikan/1771390400.pdf
29. 
https://inspirasidikti.kemdiktisaintek.go.id/unitku/zona-integritas/2026-2235/dokumen/PAK-IKU WD 1 FIPP 2025?file=2235-universitas-negeri-semarang/171-fakultas-ilmu-pendidikan/1771390403.pdf
30. 
https://inspirasidikti.kemdiktisaintek.go.id/unitku/zona-integritas/2026-2235/dokumen/PAK-IKU WD 3 FIPP 2025?file=2235-universitas-negeri-semarang/171-fakultas-ilmu-pendidikan/1771390409.pdf
31. 
https://inspirasidikti.kemdiktisaintek.go.id/unitku/zona-integritas/2026-2235/dokumen/PAK Kalab PGSD 2023?file=2235-universitas-negeri-semarang/171-fakultas-ilmu-pendidikan/1771389879.pdf
32. 
https://inspirasidikti.kemdiktisaintek.go.id/unitku/zona-integritas/2026-2235/dokumen/PAK Kalab PLS 2023?file=2235-universitas-negeri-semarang/171-fakultas-ilmu-pendidikan/1771389884.pdf
33. 
https://inspirasidikti.kemdiktisaintek.go.id/unitku/zona-integritas/2026-2235/dokumen/PAK Kalab Psi 2023?file=2235-universitas-negeri-semarang/171-fakultas-ilmu-pendidikan/1771389890.pdf
34. 
https://inspirasidikti.kemdiktisaintek.go.id/unitku/zona-integritas/2026-2235/dokumen/PAK Kalab TP 2023?file=2235-universitas-negeri-semarang/171-fakultas-ilmu-pendidikan/1771389894.pdf
35. 
https://inspirasidikti.kemdiktisaintek.go.id/unitku/zona-integritas/2026-2235/dokumen/PAK-IKU Kepala laboratorium Terpadu 2024?file=2235-universitas-negeri-semarang/171-fakultas-ilmu-pendidikan/1771389870.pdf
36. 
https://inspirasidikti.kemdiktisaintek.go.id/unitku/zona-integritas/2026-2235/dokumen/PAK Koordinator TU 2023?file=2235-universitas-negeri-semarang/171-fakultas-ilmu-pendidikan/1771389901.pdf
37. 
https://inspirasidikti.kemdiktisaintek.go.id/unitku/zona-integritas/2026-2235/dokumen/PAK Koorprodi Prodi BK 2023?file=2235-universitas-negeri-semarang/171-fakultas-ilmu-pendidikan/1771389906.pdf
38. 
https://inspirasidikti.kemdiktisaintek.go.id/unitku/zona-integritas/2026-2235/dokumen/PAK Koorprodi Prodi KTP 2023?file=2235-universitas-negeri-semarang/171-fakultas-ilmu-pendidikan/1771389914.pdf
39. 
https://inspirasidikti.kemdiktisaintek.go.id/unitku/zona-integritas/2026-2235/dokumen/PAK Koorprodi Prodi PG PAUD 2023?file=2235-universitas-negeri-semarang/171-fakultas-ilmu-pendidikan/1771389920.pdf
40. 
https://inspirasidikti.kemdiktisaintek.go.id/unitku/zona-integritas/2026-2235/dokumen/PAK Koorprodi Prodi PGSD 2023?file=2235-universitas-negeri-semarang/171-fakultas-ilmu-pendidikan/1771389923.pdf
41. 
https://inspirasidikti.kemdiktisaintek.go.id/unitku/zona-integritas/2026-2235/dokumen/PAK Koorprodi Prodi PLS 2023?file=2235-universitas-negeri-semarang/171-fakultas-ilmu-pendidikan/1771389931.pdf
42. 
https://inspirasidikti.kemdiktisaintek.go.id/unitku/zona-integritas/2026-2235/dokumen/PAK Koorprodi Prodi PPK 2023?file=2235-universitas-negeri-semarang/171-fakultas-ilmu-pendidikan/1771389936.pdf
43. 
https://inspirasidikti.kemdiktisaintek.go.id/unitku/zona-integritas/2026-2235/dokumen/PAK Koorprodi Prodi Psikologi 2023?file=2235-universitas-negeri-semarang/171-fakultas-ilmu-pendidikan/1771389940.pdf
44. 
https://inspirasidikti.kemdiktisaintek.go.id/unitku/zona-integritas/2026-2235/dokumen/PAK Sekjur BK 2023?file=2235-universitas-negeri-semarang/171-fakultas-ilmu-pendidikan/1771389945.pdf
45. 
https://inspirasidikti.kemdiktisaintek.go.id/unitku/zona-integritas/2026-2235/dokumen/PAK Sekjur PG PAUD 2023?file=2235-universitas-negeri-semarang/171-fakultas-ilmu-pendidikan/1771389951.pdf
46. 
https://inspirasidikti.kemdiktisaintek.go.id/unitku/zona-integritas/2026-2235/dokumen/PAK Sekjur PGSD 2023?file=2235-universitas-negeri-semarang/171-fakultas-ilmu-pendidikan/1771389955.pdf
47. 
https://inspirasidikti.kemdiktisaintek.go.id/unitku/zona-integritas/2026-2235/dokumen/PAK Sekjur PLS 2023?file=2235-universitas-negeri-semarang/171-fakultas-ilmu-pendidikan/1771389958.pdf
48. 
https://inspirasidikti.kemdiktisaintek.go.id/unitku/zona-integritas/2026-2235/dokumen/PAK Sekjur PSI 2023?file=2235-universitas-negeri-semarang/171-fakultas-ilmu-pendidikan/1771389965.pdf
49. 
https://inspirasidikti.kemdiktisaintek.go.id/unitku/zona-integritas/2026-2235/dokumen/PAK Sekjur TP 2023?file=2235-universitas-negeri-semarang/171-fakultas-ilmu-pendidikan/1771389970.pdf
50. 
https://inspirasidikti.kemdiktisaintek.go.id/unitku/zona-integritas/2026-2235/dokumen/PAK Subkoor Akademik 2023?file=2235-universitas-negeri-semarang/171-fakultas-ilmu-pendidikan/1771389976.pdf
51. 
https://inspirasidikti.kemdiktisaintek.go.id/unitku/zona-integritas/2026-2235/dokumen/PAK Subkoor Umpeg 2023?file=2235-universitas-negeri-semarang/171-fakultas-ilmu-pendidikan/1771389982.pdf
52. 
https://inspirasidikti.kemdiktisaintek.go.id/unitku/zona-integritas/2026-2235/dokumen/PAK Subkor Akutansi 2023?file=2235-universitas-negeri-semarang/171-fakultas-ilmu-pendidikan/1771389987.pdf
53. 
https://inspirasidikti.kemdiktisaintek.go.id/unitku/zona-integritas/2026-2235/dokumen/PAK Subkor Keuangan2023?file=2235-universitas-negeri-semarang/171-fakultas-ilmu-pendidikan/1771389992.pdf
54. 
https://inspirasidikti.kemdiktisaintek.go.id/unitku/zona-integritas/2026-2235/dokumen/PAK WD1 2023?file=2235-universitas-negeri-semarang/171-fakultas-ilmu-pendidikan/1771389997.pdf
55. 
https://inspirasidikti.kemdiktisaintek.go.id/unitku/zona-integritas/2026-2235/dokumen/PAK WD2 2023?file=2235-universitas-negeri-semarang/171-fakultas-ilmu-pendidikan/1771390004.pdf
56. 
https://inspirasidikti.kemdiktisaintek.go.id/unitku/zona-integritas/2026-2235/dokumen/PAK WD3 2023?file=2235-universitas-negeri-semarang/171-fakultas-ilmu-pendidikan/1771390008.pdf
57. 
https://inspirasidikti.kemdiktisaintek.go.id/unitku/zona-integritas/2026-2235/dokumen/PAK-IKU Koordinator Prodi BK S1 2024?file=2235-universitas-negeri-semarang/171-fakultas-ilmu-pendidikan/1771390108.pdf
</t>
  </si>
  <si>
    <t>sudah ada penetapan indikator kinerja utama</t>
  </si>
  <si>
    <t>Indikator kinerja telah telah memenuhi kriteria SMART</t>
  </si>
  <si>
    <t>a. Jika seluruh indikator kinerja telah SMART
b. Jika sebagian besar indikator kinerja telah SMART
c. Jika sebagian kecil indikator kinerja telah SMART
d. Jika belum ada indikator kinerja yang SMART</t>
  </si>
  <si>
    <t>1) Definisi Operasional per Indikator 2024 
2) Perjanjian Kinerja Pimpinan 2023 
3) Perjanjian Kinerja Pimpinan 2024 
4) Perjanjian Kinerja Pimpinan 2025 
5) LHEAKI FIPP 2023 
6) LHEAKI FIPP 2024 
7) Indikator IKU berbasis SMART
8) Melengkapi LHEAKI FIPP 2025
9) Melengkapi Renstra FIPP (Implementasi dari detail cerminan SMART sebagaimana dinarasikan pada pedoman Indikator IKU berbasis SMART)</t>
  </si>
  <si>
    <t xml:space="preserve">1. 
LHEAKI FIPP 2025 
2. 
Definisi Operasional per indikator
3. 
Indikator IKU berbasis SMART
4. 
LHEAKI FIPP 2023
5. 
LHEAKI FIPP 2024
6. 
Perjanjian Kinerja Dekan FIPP 2023
7. 
Perjanjian Kinerja Dekan FIPP 2024
8. 
Perjanjian Kinerja Dekan FIPP 2025
9. 
RENSTRA FIPP 2023-2028
</t>
  </si>
  <si>
    <t xml:space="preserve">1. 
https://inspirasidikti.kemdiktisaintek.go.id/unitku/zona-integritas/2026-2235/dokumen/LHEAKI FIPP 2025 ?file=2235-universitas-negeri-semarang/171-fakultas-ilmu-pendidikan/1772609178.pdf
2. 
https://inspirasidikti.kemdiktisaintek.go.id/unitku/zona-integritas/2026-2235/dokumen/Definisi Operasional per indikator?file=2235-universitas-negeri-semarang/171-fakultas-ilmu-pendidikan/1771390643.pdf
3. 
https://inspirasidikti.kemdiktisaintek.go.id/unitku/zona-integritas/2026-2235/dokumen/Indikator IKU berbasis SMART?file=2235-universitas-negeri-semarang/171-fakultas-ilmu-pendidikan/1771390647.pdf
4. 
https://inspirasidikti.kemdiktisaintek.go.id/unitku/zona-integritas/2026-2235/dokumen/LHEAKI FIPP 2023?file=2235-universitas-negeri-semarang/171-fakultas-ilmu-pendidikan/1771390653.pdf
5. 
https://inspirasidikti.kemdiktisaintek.go.id/unitku/zona-integritas/2026-2235/dokumen/LHEAKI FIPP 2024?file=2235-universitas-negeri-semarang/171-fakultas-ilmu-pendidikan/1771390657.pdf
6. 
https://inspirasidikti.kemdiktisaintek.go.id/unitku/zona-integritas/2026-2235/dokumen/Perjanjian Kinerja Dekan FIPP 2023?file=2235-universitas-negeri-semarang/171-fakultas-ilmu-pendidikan/1771390662.pdf
7. 
https://inspirasidikti.kemdiktisaintek.go.id/unitku/zona-integritas/2026-2235/dokumen/Perjanjian Kinerja Dekan FIPP 2024?file=2235-universitas-negeri-semarang/171-fakultas-ilmu-pendidikan/1771390665.pdf
8. 
https://inspirasidikti.kemdiktisaintek.go.id/unitku/zona-integritas/2026-2235/dokumen/Perjanjian Kinerja Dekan FIPP 2025?file=2235-universitas-negeri-semarang/171-fakultas-ilmu-pendidikan/1771390669.pdf
9. 
https://inspirasidikti.kemdiktisaintek.go.id/unitku/zona-integritas/2026-2235/dokumen/RENSTRA FIPP 2023-2028?file=2235-universitas-negeri-semarang/171-fakultas-ilmu-pendidikan/1772609343.pdf
</t>
  </si>
  <si>
    <t>sebagian besar indikator telah memenuhi SMART. Akan tetapi  Perlu lebih diperjelas lagi SMART nya</t>
  </si>
  <si>
    <t>Laporan kinerja telah disusun tepat waktu</t>
  </si>
  <si>
    <t>Ya, jika unit kerja telah menyusun laporan kinerja tepat waktu</t>
  </si>
  <si>
    <t>1. Perjanjian kinerja Dekan 
2. Kerangka logis atau indikator capaian kinerja pagawai 
3. Lakuk FIPP 2023-2024 
4. Lakuk FIPP 2024 
5. Lakin FIPP 2023 
6. Lakin FIPP 2024 
7. LAKIN UNNES 2023 
8. LAKIN UNNES 2024 
9. Tangkap Layar Submit Pelaporan Kinerja Unit 
10. Tangkap Layar Submit Capaian Kinerja SDM-Individu 
11. Permintaan Penyampaian Lakin dari Biro Perencanaan/Universitas 2023 
12. Permintaan Penyampaian Lakin dari Biro Perencanaan/Universitas 2024</t>
  </si>
  <si>
    <t xml:space="preserve">1. 
LAKIN FIPP 2023
2. 
LAKIN FIPP 2024
3. 
LAKUK FIPP 2023
4. 
LAKUK FIPP 2024
5. 
LAKIN UNNES 2024
6. 
LAKIN UNNES 2023
7. 
Perjanjian Kinerja Dekan FIPP 2023
8. 
Perjanjian Kinerja Dekan FIPP 2024
9. 
Perjanjian Kinerja Dekan FIPP 2025
10. 
Permintaan Penyampaian Lakin dari Biro PerencanaanUniversitas 2023
11. 
Permintaan Penyampaian Lakin dari Biro PerencanaanUniversitas 2024
12. 
Tangkap Layar Submit Capaian Kinerja SDM-Individu
13. 
Tangkap Layar Submit Pelaporan Kinerja Unit
</t>
  </si>
  <si>
    <t xml:space="preserve">1. 
https://inspirasidikti.kemdiktisaintek.go.id/unitku/zona-integritas/2026-2235/dokumen/LAKIN FIPP 2023?file=2235-universitas-negeri-semarang/171-fakultas-ilmu-pendidikan/1771390689.pdf
2. 
https://inspirasidikti.kemdiktisaintek.go.id/unitku/zona-integritas/2026-2235/dokumen/LAKIN FIPP 2024?file=2235-universitas-negeri-semarang/171-fakultas-ilmu-pendidikan/1771390694.pdf
3. 
https://inspirasidikti.kemdiktisaintek.go.id/unitku/zona-integritas/2026-2235/dokumen/LAKUK FIPP 2023?file=2235-universitas-negeri-semarang/171-fakultas-ilmu-pendidikan/1771390728.pdf
4. 
https://inspirasidikti.kemdiktisaintek.go.id/unitku/zona-integritas/2026-2235/dokumen/LAKUK FIPP 2024?file=2235-universitas-negeri-semarang/171-fakultas-ilmu-pendidikan/1771390733.pdf
5. 
https://inspirasidikti.kemdiktisaintek.go.id/unitku/zona-integritas/2026-2235/dokumen/LAKIN UNNES 2024?file=2235-universitas-negeri-semarang/171-fakultas-ilmu-pendidikan/1771390819.pdf
6. 
https://inspirasidikti.kemdiktisaintek.go.id/unitku/zona-integritas/2026-2235/dokumen/LAKIN UNNES 2023?file=2235-universitas-negeri-semarang/171-fakultas-ilmu-pendidikan/1771390824.pdf
7. 
https://inspirasidikti.kemdiktisaintek.go.id/unitku/zona-integritas/2026-2235/dokumen/Perjanjian Kinerja Dekan FIPP 2023?file=2235-universitas-negeri-semarang/171-fakultas-ilmu-pendidikan/1771390849.pdf
8. 
https://inspirasidikti.kemdiktisaintek.go.id/unitku/zona-integritas/2026-2235/dokumen/Perjanjian Kinerja Dekan FIPP 2024?file=2235-universitas-negeri-semarang/171-fakultas-ilmu-pendidikan/1771390853.pdf
9. 
https://inspirasidikti.kemdiktisaintek.go.id/unitku/zona-integritas/2026-2235/dokumen/Perjanjian Kinerja Dekan FIPP 2025?file=2235-universitas-negeri-semarang/171-fakultas-ilmu-pendidikan/1771390857.pdf
10. 
https://inspirasidikti.kemdiktisaintek.go.id/unitku/zona-integritas/2026-2235/dokumen/Permintaan Penyampaian Lakin dari Biro PerencanaanUniversitas 2023?file=2235-universitas-negeri-semarang/171-fakultas-ilmu-pendidikan/1771390864.pdf
11. 
https://inspirasidikti.kemdiktisaintek.go.id/unitku/zona-integritas/2026-2235/dokumen/Permintaan Penyampaian Lakin dari Biro PerencanaanUniversitas 2024?file=2235-universitas-negeri-semarang/171-fakultas-ilmu-pendidikan/1771390869.pdf
12. 
https://inspirasidikti.kemdiktisaintek.go.id/unitku/zona-integritas/2026-2235/dokumen/Tangkap Layar Submit Capaian Kinerja SDM-Individu?file=2235-universitas-negeri-semarang/171-fakultas-ilmu-pendidikan/1771390873.pdf
13. 
https://inspirasidikti.kemdiktisaintek.go.id/unitku/zona-integritas/2026-2235/dokumen/Tangkap Layar Submit Pelaporan Kinerja Unit?file=2235-universitas-negeri-semarang/171-fakultas-ilmu-pendidikan/1771390878.pdf
</t>
  </si>
  <si>
    <t>Dokumen sudah ada</t>
  </si>
  <si>
    <t>Laporan kinerja telah memberikan informasi tentang kinerja</t>
  </si>
  <si>
    <t>a. Jika seluruh pelaporan kinerja telah memberikan informasi tentang kinerja
b. Jika sebagian pelaporan kinerja belum memberikan informasi tentang kinerja
c. Jika seluruh pelaporan kinerja belum memberikan informasi tentang kinerja</t>
  </si>
  <si>
    <t>1. LAKIN UNNES 2023 
2. LAKUK FIPP 2023 
3. LAKIN UNNES 2024 
4. LAKUK FIPP 2024
5. LAKIN UNNES 2025
6. LAKUK FIPP 2025</t>
  </si>
  <si>
    <t xml:space="preserve">1. 
LAKIN UNNES 2025
2. 
LAKIN UNNES 2024
3. 
LAKUK FIPP 2023
4. 
LAKUK FIPP 2024
5. 
LAKIN UNNES 2023
6. 
LAKUK FIPP 2025 
</t>
  </si>
  <si>
    <t xml:space="preserve">1. 
https://inspirasidikti.kemdiktisaintek.go.id/unitku/zona-integritas/2026-2235/dokumen/LAKIN UNNES 2025?file=2235-universitas-negeri-semarang/171-fakultas-ilmu-pendidikan/1772594041.pdf
2. 
https://inspirasidikti.kemdiktisaintek.go.id/unitku/zona-integritas/2026-2235/dokumen/LAKIN UNNES 2024?file=2235-universitas-negeri-semarang/171-fakultas-ilmu-pendidikan/1771391054.pdf
3. 
https://inspirasidikti.kemdiktisaintek.go.id/unitku/zona-integritas/2026-2235/dokumen/LAKUK FIPP 2023?file=2235-universitas-negeri-semarang/171-fakultas-ilmu-pendidikan/1771391056.pdf
4. 
https://inspirasidikti.kemdiktisaintek.go.id/unitku/zona-integritas/2026-2235/dokumen/LAKUK FIPP 2024?file=2235-universitas-negeri-semarang/171-fakultas-ilmu-pendidikan/1771391060.pdf
5. 
https://inspirasidikti.kemdiktisaintek.go.id/unitku/zona-integritas/2026-2235/dokumen/LAKIN UNNES 2023?file=2235-universitas-negeri-semarang/171-fakultas-ilmu-pendidikan/1772595086.pdf
6. 
https://inspirasidikti.kemdiktisaintek.go.id/unitku/zona-integritas/2026-2235/dokumen/LAKUK FIPP 2025 ?file=2235-universitas-negeri-semarang/171-fakultas-ilmu-pendidikan/1772595148.pdf
</t>
  </si>
  <si>
    <t>LAKIN  dan LAKUK 2025 mohon disertakan</t>
  </si>
  <si>
    <t>g.</t>
  </si>
  <si>
    <t>Terdapat sistem informasi/mekanisme informasi kinerja</t>
  </si>
  <si>
    <t>ya, jika terdapat sistem informasi/mekanisme informasi kinerja</t>
  </si>
  <si>
    <t>1. Lakuk 2023 
2. Lakuk 2024 
3. Tangkap layar sistem pelaporan Lakuk 
4. Contoh beberapa SIM Pelayanan dan Peningkatan Kerja SDM/UNIT 
5. Panduan SIM Sasaran Kinerja Pegawai di My-Kepegawaian</t>
  </si>
  <si>
    <t xml:space="preserve">1. 
Contoh Macam SIM Pelayanan dan Peningkatan Kinerja
2. 
LAKUK FIPP 2023
3. 
LAKUK FIPP 2024
4. 
Panduan SIM Sasaran Kinerja Pegawai di My-Kepegawaian
5. 
Tangkap Layar Sistem Pelaporan Kinerja Unit
6. 
panduan_sikadu_2.0_compressed
</t>
  </si>
  <si>
    <t xml:space="preserve">1. 
https://inspirasidikti.kemdiktisaintek.go.id/unitku/zona-integritas/2026-2235/dokumen/Contoh Macam SIM Pelayanan dan Peningkatan Kinerja?file=2235-universitas-negeri-semarang/171-fakultas-ilmu-pendidikan/1771391082.pdf
2. 
https://inspirasidikti.kemdiktisaintek.go.id/unitku/zona-integritas/2026-2235/dokumen/LAKUK FIPP 2023?file=2235-universitas-negeri-semarang/171-fakultas-ilmu-pendidikan/1771391086.pdf
3. 
https://inspirasidikti.kemdiktisaintek.go.id/unitku/zona-integritas/2026-2235/dokumen/LAKUK FIPP 2024?file=2235-universitas-negeri-semarang/171-fakultas-ilmu-pendidikan/1771391090.pdf
4. 
https://inspirasidikti.kemdiktisaintek.go.id/unitku/zona-integritas/2026-2235/dokumen/Panduan SIM Sasaran Kinerja Pegawai di My-Kepegawaian?file=2235-universitas-negeri-semarang/171-fakultas-ilmu-pendidikan/1771391092.pdf
5. 
https://inspirasidikti.kemdiktisaintek.go.id/unitku/zona-integritas/2026-2235/dokumen/Tangkap Layar Sistem Pelaporan Kinerja Unit?file=2235-universitas-negeri-semarang/171-fakultas-ilmu-pendidikan/1771391109.pdf
6. 
https://inspirasidikti.kemdiktisaintek.go.id/unitku/zona-integritas/2026-2235/dokumen/panduan_sikadu_2.0_compressed?file=2235-universitas-negeri-semarang/171-fakultas-ilmu-pendidikan/1771391209.pdf
</t>
  </si>
  <si>
    <t>Ada  perlu disiapkan  dokumen sistem  informasi kinerja  di FIPP</t>
  </si>
  <si>
    <t>h</t>
  </si>
  <si>
    <t>Unit kerja telah berupaya meningkatkan kapasitas SDM yang menangangi akuntabilitas kinerja</t>
  </si>
  <si>
    <t>a. Jika seluruh SDM pengelola akuntabilitas kinerja kompeten
b. Jika sebagian SDM pengelola akuntabilitas kinerja kompeten
c. Jika seluruh SDM pengelola akuntabilitas kinerja belum ada yang kompeten</t>
  </si>
  <si>
    <t>1. SK Pengelola Akuntabilitas FIPP 2023 
2. SK Pengelola Akuntabilitas FIPP 2024 
3. SK Pengelola Akuntabilitas FIPP 2025 
4. Sertifikat pelatihan peningkatan manajemen keuangan (6 personel) 
5. Sertifikat pelatihan service excellent untuk mendukung ZI (6 personel) 
6. SK Rektor tentang Akuntabilitas Kinerja 
7. Undangan Sosialisasi ZI 
8. Materi Sosialisasi ZI 
9. Sertifikat Bimtek Akuntabilitas Kinerja (2 personel)</t>
  </si>
  <si>
    <t xml:space="preserve">1. 
SK Rektor tentang Akuntabilitas Kinerja
2. 
SK Pengelola Akuntabilitas Kinerja 2023
3. 
SK Pengelola Akuntabilitas Kinerja 2024
4. 
SK Pengelola Akuntabilitas Kinerja 2025
5. 
Undangan Sosialisasi Zona Integritas
6. 
Sertifikat Bimtek Akuntabilitas Kinerja_Ah Sobri
7. 
Sertifikat Bimtek Akuntabilitas Kinerja_Yuliana Mawarti
8. 
Materi Service Excellent Untuk Mendukung Zona Integritas
9. 
Manajemen Keuangan PTNBH - Ah Sobri
10. 
Manajemen Keuangan PTNBH - Dessy D
11. 
Manajemen Keuangan PTNBH - Dilla K
12. 
Manajemen Keuangan PTNBH - Ratih DP
13. 
Manajemen Keuangan PTNBH - Suneni
14. 
Manajemen Keuangan PTNBH - Supriyanto
15. 
Sertifikat Service Excellent Untuk Mendukung Zona Integritas
16. 
Service Excellent Untuk Mendukung Zona Integritas - Ah Sobri
17. 
Service Excellent Untuk Mendukung Zona Integritas - Dessy D
18. 
Service Excellent Untuk Mendukung Zona Integritas - Dilla K
19. 
Service Excellent Untuk Mendukung Zona Integritas - Ratih DP
20. 
Service Excellent Untuk Mendukung Zona Integritas - Suneni
21. 
Service Excellent Untuk Mendukung Zona Integritas - Supriyanto
</t>
  </si>
  <si>
    <t xml:space="preserve">1. 
https://inspirasidikti.kemdiktisaintek.go.id/unitku/zona-integritas/2026-2235/dokumen/SK Rektor tentang Akuntabilitas Kinerja?file=2235-universitas-negeri-semarang/171-fakultas-ilmu-pendidikan/1771391246.pdf
2. 
https://inspirasidikti.kemdiktisaintek.go.id/unitku/zona-integritas/2026-2235/dokumen/SK Pengelola Akuntabilitas Kinerja 2023?file=2235-universitas-negeri-semarang/171-fakultas-ilmu-pendidikan/1771391276.pdf
3. 
https://inspirasidikti.kemdiktisaintek.go.id/unitku/zona-integritas/2026-2235/dokumen/SK Pengelola Akuntabilitas Kinerja 2024?file=2235-universitas-negeri-semarang/171-fakultas-ilmu-pendidikan/1771391282.pdf
4. 
https://inspirasidikti.kemdiktisaintek.go.id/unitku/zona-integritas/2026-2235/dokumen/SK Pengelola Akuntabilitas Kinerja 2025?file=2235-universitas-negeri-semarang/171-fakultas-ilmu-pendidikan/1771391286.pdf
5. 
https://inspirasidikti.kemdiktisaintek.go.id/unitku/zona-integritas/2026-2235/dokumen/Undangan Sosialisasi Zona Integritas?file=2235-universitas-negeri-semarang/171-fakultas-ilmu-pendidikan/1771391293.pdf
6. 
https://inspirasidikti.kemdiktisaintek.go.id/unitku/zona-integritas/2026-2235/dokumen/Sertifikat Bimtek Akuntabilitas Kinerja_Ah Sobri?file=2235-universitas-negeri-semarang/171-fakultas-ilmu-pendidikan/1771391304.pdf
7. 
https://inspirasidikti.kemdiktisaintek.go.id/unitku/zona-integritas/2026-2235/dokumen/Sertifikat Bimtek Akuntabilitas Kinerja_Yuliana Mawarti?file=2235-universitas-negeri-semarang/171-fakultas-ilmu-pendidikan/1771391309.pdf
8. 
https://inspirasidikti.kemdiktisaintek.go.id/unitku/zona-integritas/2026-2235/dokumen/Materi Service Excellent Untuk Mendukung Zona Integritas?file=2235-universitas-negeri-semarang/171-fakultas-ilmu-pendidikan/1771391326.pdf
9. 
https://inspirasidikti.kemdiktisaintek.go.id/unitku/zona-integritas/2026-2235/dokumen/Manajemen Keuangan PTNBH - Ah Sobri?file=2235-universitas-negeri-semarang/171-fakultas-ilmu-pendidikan/1771391337.pdf
10. 
https://inspirasidikti.kemdiktisaintek.go.id/unitku/zona-integritas/2026-2235/dokumen/Manajemen Keuangan PTNBH - Dessy D?file=2235-universitas-negeri-semarang/171-fakultas-ilmu-pendidikan/1771391340.pdf
11. 
https://inspirasidikti.kemdiktisaintek.go.id/unitku/zona-integritas/2026-2235/dokumen/Manajemen Keuangan PTNBH - Dilla K?file=2235-universitas-negeri-semarang/171-fakultas-ilmu-pendidikan/1771391344.pdf
12. 
https://inspirasidikti.kemdiktisaintek.go.id/unitku/zona-integritas/2026-2235/dokumen/Manajemen Keuangan PTNBH - Ratih DP?file=2235-universitas-negeri-semarang/171-fakultas-ilmu-pendidikan/1771391348.pdf
13. 
https://inspirasidikti.kemdiktisaintek.go.id/unitku/zona-integritas/2026-2235/dokumen/Manajemen Keuangan PTNBH - Suneni?file=2235-universitas-negeri-semarang/171-fakultas-ilmu-pendidikan/1771391352.pdf
14. 
https://inspirasidikti.kemdiktisaintek.go.id/unitku/zona-integritas/2026-2235/dokumen/Manajemen Keuangan PTNBH - Supriyanto?file=2235-universitas-negeri-semarang/171-fakultas-ilmu-pendidikan/1771391356.pdf
15. 
https://inspirasidikti.kemdiktisaintek.go.id/unitku/zona-integritas/2026-2235/dokumen/Sertifikat Service Excellent Untuk Mendukung Zona Integritas?file=2235-universitas-negeri-semarang/171-fakultas-ilmu-pendidikan/1771391369.pdf
16. 
https://inspirasidikti.kemdiktisaintek.go.id/unitku/zona-integritas/2026-2235/dokumen/Service Excellent Untuk Mendukung Zona Integritas - Ah Sobri?file=2235-universitas-negeri-semarang/171-fakultas-ilmu-pendidikan/1771391383.pdf
17. 
https://inspirasidikti.kemdiktisaintek.go.id/unitku/zona-integritas/2026-2235/dokumen/Service Excellent Untuk Mendukung Zona Integritas - Dessy D?file=2235-universitas-negeri-semarang/171-fakultas-ilmu-pendidikan/1771391387.pdf
18. 
https://inspirasidikti.kemdiktisaintek.go.id/unitku/zona-integritas/2026-2235/dokumen/Service Excellent Untuk Mendukung Zona Integritas - Dilla K?file=2235-universitas-negeri-semarang/171-fakultas-ilmu-pendidikan/1771391391.pdf
19. 
https://inspirasidikti.kemdiktisaintek.go.id/unitku/zona-integritas/2026-2235/dokumen/Service Excellent Untuk Mendukung Zona Integritas - Ratih DP?file=2235-universitas-negeri-semarang/171-fakultas-ilmu-pendidikan/1771391395.pdf
20. 
https://inspirasidikti.kemdiktisaintek.go.id/unitku/zona-integritas/2026-2235/dokumen/Service Excellent Untuk Mendukung Zona Integritas - Suneni?file=2235-universitas-negeri-semarang/171-fakultas-ilmu-pendidikan/1771391400.pdf
21. 
https://inspirasidikti.kemdiktisaintek.go.id/unitku/zona-integritas/2026-2235/dokumen/Service Excellent Untuk Mendukung Zona Integritas - Supriyanto?file=2235-universitas-negeri-semarang/171-fakultas-ilmu-pendidikan/1771391408.pdf
</t>
  </si>
  <si>
    <t>sudah dokumen pengelola akuntalibilitas dan sertifikat peningkatan kapasitas SDM</t>
  </si>
  <si>
    <t>PENGUATAN PENGAWASAN</t>
  </si>
  <si>
    <t xml:space="preserve">Pengendalian Gratifikasi </t>
  </si>
  <si>
    <t>Telah dilakukan public campaign tentang pengendalian gratifikasi</t>
  </si>
  <si>
    <t>a. Jika public campaign telah dilakukan secara berkala
b. Jika public campaign dilakukan tidak secara berkala
c. Jika belum dilakukan public campaign</t>
  </si>
  <si>
    <t xml:space="preserve">1. 
SK TPG 2026
2. 
Dokumentasi public campaign secara berkala
3. 
Laporan BErkala Gratifikasi tw 1 2025
4. 
LAPORAN PENGENDALIAN GRATIFIKASI TRIWULAN 1 TAHUN 2025 FIPP UNNES
5. 
Laporan Pelaksanaan Public Campaign
6. 
Laporan Berkala Public Campaign 2024 FIPP UNNES (1)
7. 
SK TPG
8. 
SK Pembentukan Tim Pengendalian Aktivitas Utama Organisasi
</t>
  </si>
  <si>
    <t xml:space="preserve">1. 
https://inspirasidikti.kemdiktisaintek.go.id/unitku/zona-integritas/2026-2235/dokumen/SK TPG 2026?file=2235-universitas-negeri-semarang/171-fakultas-ilmu-pendidikan/1772437383.pdf
2. 
https://inspirasidikti.kemdiktisaintek.go.id/unitku/zona-integritas/2026-2235/dokumen/Dokumentasi public campaign secara berkala?file=2235-universitas-negeri-semarang/171-fakultas-ilmu-pendidikan/1770950787.pdf
3. 
https://inspirasidikti.kemdiktisaintek.go.id/unitku/zona-integritas/2026-2235/dokumen/Laporan BErkala Gratifikasi tw 1 2025?file=2235-universitas-negeri-semarang/171-fakultas-ilmu-pendidikan/1770950800.pdf
4. 
https://inspirasidikti.kemdiktisaintek.go.id/unitku/zona-integritas/2026-2235/dokumen/LAPORAN PENGENDALIAN GRATIFIKASI TRIWULAN 1 TAHUN 2025 FIPP UNNES?file=2235-universitas-negeri-semarang/171-fakultas-ilmu-pendidikan/1770950825.pdf
5. 
https://inspirasidikti.kemdiktisaintek.go.id/unitku/zona-integritas/2026-2235/dokumen/Laporan Pelaksanaan Public Campaign?file=2235-universitas-negeri-semarang/171-fakultas-ilmu-pendidikan/1770950841.pdf
6. 
https://inspirasidikti.kemdiktisaintek.go.id/unitku/zona-integritas/2026-2235/dokumen/Laporan Berkala Public Campaign 2024 FIPP UNNES (1)?file=2235-universitas-negeri-semarang/171-fakultas-ilmu-pendidikan/1770950884.pdf
7. 
https://inspirasidikti.kemdiktisaintek.go.id/unitku/zona-integritas/2026-2235/dokumen/SK TPG?file=2235-universitas-negeri-semarang/171-fakultas-ilmu-pendidikan/1771425819.pdf
8. 
https://inspirasidikti.kemdiktisaintek.go.id/unitku/zona-integritas/2026-2235/dokumen/SK Pembentukan Tim Pengendalian Aktivitas Utama Organisasi?file=2235-universitas-negeri-semarang/171-fakultas-ilmu-pendidikan/1771426012.pdf
</t>
  </si>
  <si>
    <t>Sudah ada dokumen public campaign pengendalian gratifikasi</t>
  </si>
  <si>
    <t>Pengendalian gratifikasi telah diimplementasikan</t>
  </si>
  <si>
    <t>a. Jika Unit Pengendalian Gratifikasi, pengendalian gratifikasi telahmenjadi bagian dari prosedur
b. Jika Unit Pengendalian Gratifikasi, upaya pengendalian gratifikasi telah mulai dilakukan
c. Jika telah membentuk Unit Pengendalian Gratifikasi tetapi belum terdapat prosedur pengendalian
d. Jika belum memiliki Unit Pengendalian Gratifikasi</t>
  </si>
  <si>
    <t>Unit FIPP Pengendalian Gratifikasi, pengendalian gratifikasi telahmenjadi bagian dari prosedur</t>
  </si>
  <si>
    <t xml:space="preserve">1. 
LAPORAN PENGENDALIAN GRATIFIKASI 2025
2. 
Pemasangan kamera pengawas
3. 
SK TPG
4. 
Penyusunan prosedur pengendalian gratifikasi_Peraturan Rektor
</t>
  </si>
  <si>
    <t xml:space="preserve">1. 
https://inspirasidikti.kemdiktisaintek.go.id/unitku/zona-integritas/2026-2235/dokumen/LAPORAN PENGENDALIAN GRATIFIKASI 2025?file=2235-universitas-negeri-semarang/171-fakultas-ilmu-pendidikan/1771426082.pdf
2. 
https://inspirasidikti.kemdiktisaintek.go.id/unitku/zona-integritas/2026-2235/dokumen/Pemasangan kamera pengawas?file=2235-universitas-negeri-semarang/171-fakultas-ilmu-pendidikan/1771426110.pdf
3. 
https://inspirasidikti.kemdiktisaintek.go.id/unitku/zona-integritas/2026-2235/dokumen/SK TPG?file=2235-universitas-negeri-semarang/171-fakultas-ilmu-pendidikan/1771426124.pdf
4. 
https://inspirasidikti.kemdiktisaintek.go.id/unitku/zona-integritas/2026-2235/dokumen/Penyusunan prosedur pengendalian gratifikasi_Peraturan Rektor?file=2235-universitas-negeri-semarang/171-fakultas-ilmu-pendidikan/1771426125.pdf
</t>
  </si>
  <si>
    <t>Pengendalian gratifikasi telah dimimplementasikan di FIPP sebagai bagian dari prosedur</t>
  </si>
  <si>
    <t>Penerapan Sistem Pengendalian Intern Pemerintah (SPIP)</t>
  </si>
  <si>
    <t>Telah dibangun lingkungan pengendalian</t>
  </si>
  <si>
    <t>a. Jika unit kerja membangun seluruh lingkungan pengendalian sesuai dengan yang ditetapkan organisasi dan juga membuat inovasi terkait lingkungan pengendalian yang sesuai dengan karakteristik unit kerja
b. Jika unit kerja membangun seluruh lingkungan pengendalian sesuai dengan yang ditetapkan organisasi
c. Jika unit kerja membangun sebagian besar lingkungan pengendalian sesuai dengan yang ditetapkan organisasi
d. Jika unit kerja membangun sebagian kecil lingkungan pengendalian sesuai dengan yang ditetapkan organisasi
e. Jika unit kerja belum membangun lingkungan pengendalian</t>
  </si>
  <si>
    <t xml:space="preserve">1. 
LAPORAN PEALAKSANAAN INOVASI SPIP FIPP 2024
2. 
Pedoman Penyelenggaran SPIP FIPP UNNES 2024
3. 
SK SPIP 2024
4. 
Daftar Hadir Pleno Agustus 2024
5. 
DOKUMENTASI KEGIATAN PLENO DAN SOSIALISASI SPIP FIPP 2024 (3)
6. 
Undangan Pleno dan Sosialisasi SPIP (1)
7. 
NOTULENSI SOSIALISASI SPIP FIPP 2024
8. 
NOTULENSI SOSIALISASI SPIP FIPP 2025
</t>
  </si>
  <si>
    <t xml:space="preserve">1. 
https://inspirasidikti.kemdiktisaintek.go.id/unitku/zona-integritas/2026-2235/dokumen/LAPORAN PEALAKSANAAN INOVASI SPIP FIPP 2024?file=2235-universitas-negeri-semarang/171-fakultas-ilmu-pendidikan/1771427987.pdf
2. 
https://inspirasidikti.kemdiktisaintek.go.id/unitku/zona-integritas/2026-2235/dokumen/Pedoman Penyelenggaran SPIP FIPP UNNES 2024?file=2235-universitas-negeri-semarang/171-fakultas-ilmu-pendidikan/1771427993.pdf
3. 
https://inspirasidikti.kemdiktisaintek.go.id/unitku/zona-integritas/2026-2235/dokumen/SK SPIP 2024?file=2235-universitas-negeri-semarang/171-fakultas-ilmu-pendidikan/1771428004.pdf
4. 
https://inspirasidikti.kemdiktisaintek.go.id/unitku/zona-integritas/2026-2235/dokumen/Daftar Hadir Pleno Agustus 2024?file=2235-universitas-negeri-semarang/171-fakultas-ilmu-pendidikan/1771428046.pdf
5. 
https://inspirasidikti.kemdiktisaintek.go.id/unitku/zona-integritas/2026-2235/dokumen/DOKUMENTASI KEGIATAN PLENO DAN SOSIALISASI SPIP FIPP 2024 (3)?file=2235-universitas-negeri-semarang/171-fakultas-ilmu-pendidikan/1771428070.pdf
6. 
https://inspirasidikti.kemdiktisaintek.go.id/unitku/zona-integritas/2026-2235/dokumen/Undangan Pleno dan Sosialisasi SPIP (1)?file=2235-universitas-negeri-semarang/171-fakultas-ilmu-pendidikan/1771428100.pdf
7. 
https://inspirasidikti.kemdiktisaintek.go.id/unitku/zona-integritas/2026-2235/dokumen/NOTULENSI SOSIALISASI SPIP FIPP 2024?file=2235-universitas-negeri-semarang/171-fakultas-ilmu-pendidikan/1771428116.pdf
8. 
https://inspirasidikti.kemdiktisaintek.go.id/unitku/zona-integritas/2026-2235/dokumen/NOTULENSI SOSIALISASI SPIP FIPP 2025?file=2235-universitas-negeri-semarang/171-fakultas-ilmu-pendidikan/1771428127.pdf
</t>
  </si>
  <si>
    <t>Unit kerja telah membangun lingkungan pengendalian  dan membuat inovasi</t>
  </si>
  <si>
    <t>Telah dilakukan penilaian risiko atas pelaksanaan kebijakan</t>
  </si>
  <si>
    <t>a. Jika unit kerja melakukan penilaian risiko atas seluruh pelaksanaan kebijakan sesuai dengan yang ditetapkan organisasi dan juga membuat inovasi terkait lingkungan pengendalian yang sesuai dengan karakteristik unit kerja; 
b. Jika unit kerja melakukan penilaian risiko atas seluruh pelaksanaan kebijakan sesuai dengan yang ditetapkan organisasi
c. Jika melakukan penilaian risiko atas sebagian besar pelaksanaan kebijakan sesuai dengan yang ditetapkan organisasi
d. Jika melakukan penilaian risiko atas sebagian kecil pelaksanaan kebijakan sesuai dengan yang ditetapkan organisasi
e. Jika unit kerja belum melakukan penilaian resiko</t>
  </si>
  <si>
    <t xml:space="preserve">1. 
LAPORAN PEALAKSANAAN INOVASI SPIP FIPP 2024
2. 
MATRIKS IDENTIFIKASI DAN ANALISIS RISIKO 2024
3. 
MATRIKS IDENTIFIKASI DAN ANALISIS RISIKO 2025
</t>
  </si>
  <si>
    <t xml:space="preserve">1. 
https://inspirasidikti.kemdiktisaintek.go.id/unitku/zona-integritas/2026-2235/dokumen/LAPORAN PEALAKSANAAN INOVASI SPIP FIPP 2024?file=2235-universitas-negeri-semarang/171-fakultas-ilmu-pendidikan/1771428167.pdf
2. 
https://inspirasidikti.kemdiktisaintek.go.id/unitku/zona-integritas/2026-2235/dokumen/MATRIKS IDENTIFIKASI DAN ANALISIS RISIKO 2024?file=2235-universitas-negeri-semarang/171-fakultas-ilmu-pendidikan/1771428174.pdf
3. 
https://inspirasidikti.kemdiktisaintek.go.id/unitku/zona-integritas/2026-2235/dokumen/MATRIKS IDENTIFIKASI DAN ANALISIS RISIKO 2025?file=2235-universitas-negeri-semarang/171-fakultas-ilmu-pendidikan/1771428183.pdf
</t>
  </si>
  <si>
    <t>dokumen baru berisikan matrix penilaian resiko. Belum ada dokumen  perihal telah dilakukan penilaian resiko</t>
  </si>
  <si>
    <t>Telah dilakukan kegiatan pengendalian untuk meminimalisir risiko yang telah diidentifikasi</t>
  </si>
  <si>
    <t>a. Jika unit kerja melakukan kegiatan pengendalian untuk meminimalisir resiko sesuai dengan yang ditetapkan organisasi dan juga membuat inovasi terkait kegiatan pengendalian untuk meminimalisir resiko yang sesuai dengan karakteristik unit kerja
b. Jika unit kerja melakukan kegiatan pengendalian untuk meminimalisir resiko sesuai dengan yang ditetapkan organisasi
c. Jika unit kerja belum melakukan kegiatan pengendalian untuk meminimalisir resiko</t>
  </si>
  <si>
    <t xml:space="preserve">1. 
Daftar Hadir Pleno Agustus 2024
2. 
DOKUMENTASI KEGIATAN PLENO DAN SOSIALISASI SPIP FIPP 2024 (3)
3. 
LAPORAN SPIP FIPP 2024
4. 
LAPORAN SPIP FIPP 2025
5. 
NOTULENSI SOSIALISASI SPIP FIPP 2024
6. 
Pedoman Penyelenggaran SPIP FIPP UNNES 2024
7. 
Undangan Pleno dan Sosialisasi SPIP (1)
</t>
  </si>
  <si>
    <t xml:space="preserve">1. 
https://inspirasidikti.kemdiktisaintek.go.id/unitku/zona-integritas/2026-2235/dokumen/Daftar Hadir Pleno Agustus 2024?file=2235-universitas-negeri-semarang/171-fakultas-ilmu-pendidikan/1771428201.pdf
2. 
https://inspirasidikti.kemdiktisaintek.go.id/unitku/zona-integritas/2026-2235/dokumen/DOKUMENTASI KEGIATAN PLENO DAN SOSIALISASI SPIP FIPP 2024 (3)?file=2235-universitas-negeri-semarang/171-fakultas-ilmu-pendidikan/1771428207.pdf
3. 
https://inspirasidikti.kemdiktisaintek.go.id/unitku/zona-integritas/2026-2235/dokumen/LAPORAN SPIP FIPP 2024?file=2235-universitas-negeri-semarang/171-fakultas-ilmu-pendidikan/1771428214.pdf
4. 
https://inspirasidikti.kemdiktisaintek.go.id/unitku/zona-integritas/2026-2235/dokumen/LAPORAN SPIP FIPP 2025?file=2235-universitas-negeri-semarang/171-fakultas-ilmu-pendidikan/1771428223.pdf
5. 
https://inspirasidikti.kemdiktisaintek.go.id/unitku/zona-integritas/2026-2235/dokumen/NOTULENSI SOSIALISASI SPIP FIPP 2024?file=2235-universitas-negeri-semarang/171-fakultas-ilmu-pendidikan/1771428231.pdf
6. 
https://inspirasidikti.kemdiktisaintek.go.id/unitku/zona-integritas/2026-2235/dokumen/Pedoman Penyelenggaran SPIP FIPP UNNES 2024?file=2235-universitas-negeri-semarang/171-fakultas-ilmu-pendidikan/1771428240.pdf
7. 
https://inspirasidikti.kemdiktisaintek.go.id/unitku/zona-integritas/2026-2235/dokumen/Undangan Pleno dan Sosialisasi SPIP (1)?file=2235-universitas-negeri-semarang/171-fakultas-ilmu-pendidikan/1771428246.pdf
</t>
  </si>
  <si>
    <t>belum ada dokumen yang berisi kegiatan monev (pengendalian) untuk meminimaliisr resiko yang telah teridentifikasi</t>
  </si>
  <si>
    <t>SPI telah diinformasikan dan dikomunikasikan kepada seluruh pihak terkait</t>
  </si>
  <si>
    <t xml:space="preserve">a. Jika SPI telah diinformasikan dan dikomunikasikan kepada seluruh pihak terkait
b. Jika SPI telah diinformasikan dan dikomunikasikan kepada sebagian pihak terkait
c. Jika SPI belum diinformasikan dan dikomunikasikan kepada pihak terkait
</t>
  </si>
  <si>
    <t xml:space="preserve">1. 
Daftar Hadir Pleno Agustus 2024
2. 
DOKUMENTASI KEGIATAN PLENO DAN SOSIALISASI SPIP FIPP 2024 (3)
3. 
NOTULENSI SOSIALISASI SPIP FIPP 2024
4. 
NOTULENSI SOSIALISASI SPIP FIPP 2025
5. 
Pedoman Penyelenggaran SPIP FIPP UNNES 2024
6. 
Undangan Pleno dan Sosialisasi SPIP (1)
</t>
  </si>
  <si>
    <t xml:space="preserve">1. 
https://inspirasidikti.kemdiktisaintek.go.id/unitku/zona-integritas/2026-2235/dokumen/Daftar Hadir Pleno Agustus 2024?file=2235-universitas-negeri-semarang/171-fakultas-ilmu-pendidikan/1771428261.pdf
2. 
https://inspirasidikti.kemdiktisaintek.go.id/unitku/zona-integritas/2026-2235/dokumen/DOKUMENTASI KEGIATAN PLENO DAN SOSIALISASI SPIP FIPP 2024 (3)?file=2235-universitas-negeri-semarang/171-fakultas-ilmu-pendidikan/1771428269.pdf
3. 
https://inspirasidikti.kemdiktisaintek.go.id/unitku/zona-integritas/2026-2235/dokumen/NOTULENSI SOSIALISASI SPIP FIPP 2024?file=2235-universitas-negeri-semarang/171-fakultas-ilmu-pendidikan/1771428276.pdf
4. 
https://inspirasidikti.kemdiktisaintek.go.id/unitku/zona-integritas/2026-2235/dokumen/NOTULENSI SOSIALISASI SPIP FIPP 2025?file=2235-universitas-negeri-semarang/171-fakultas-ilmu-pendidikan/1771428293.pdf
5. 
https://inspirasidikti.kemdiktisaintek.go.id/unitku/zona-integritas/2026-2235/dokumen/Pedoman Penyelenggaran SPIP FIPP UNNES 2024?file=2235-universitas-negeri-semarang/171-fakultas-ilmu-pendidikan/1771428303.pdf
6. 
https://inspirasidikti.kemdiktisaintek.go.id/unitku/zona-integritas/2026-2235/dokumen/Undangan Pleno dan Sosialisasi SPIP (1)?file=2235-universitas-negeri-semarang/171-fakultas-ilmu-pendidikan/1771428308.pdf
</t>
  </si>
  <si>
    <t>SPI telah disosialisasikan kepada pihak-pihak terkait</t>
  </si>
  <si>
    <t>Pengaduan Masyarakat</t>
  </si>
  <si>
    <t>Kebijakan Pengaduan masyarakat telah diimplementasikan</t>
  </si>
  <si>
    <t>a. Jika unit kerja mengimplementasikan seluruh kebijakan pengaduan masyarakat sesuai dengan yang ditetapkan organisasi dan juga membuat inovasi terkait pengaduan masyarakat yang sesuai dengan karakteristik unit kerja
b. Jika unit kerja telah mengimplementasikan seluruh kebijakan pengaduan masyarakat sesuai dengan yang ditetapkan organisasi 
c. Jika unit kerja belum mengimplementasikan kebijakan pengaduan masyarakat</t>
  </si>
  <si>
    <t>FIPP telah mengimplementasikan seluruh kebijakan pengaduan masyarakat.
Kotak pengaduan juga sudah tersedia, namun penggunaan nya masih belum dimanfaatkan secara optimal oleh masyarakat FIPP. Oleh karena nya, terdapat inovasi dengan penyediaan web Pengaduan Masyarakat, adapun bukti dukung terdapat pada file Inovasi Pengaduan Masyarakat 2026.</t>
  </si>
  <si>
    <t xml:space="preserve">1. 
INOVASI Pengaduan Masyarakat 2026
2. 
A.1.2024.ST Narahubung SP4 Lapor
3. 
A.1.2025.ST Narahubung SP4 Lapor 2025
4. 
A.2.2024.Layanan Aduan Masyarakat
5. 
A.1.2026.ST Narahubung 2026
6. 
A.2.2025.Layanan Aduan Masyarakat
7. 
A.2.2026.Layanan Aduan Masyarakat
8. 
A.3.SOP pengaduan masyarakat
9. 
A.4.Sosialisasi di IG
10. 
A.5.2024.Undangan Pembentukan Tim Satgas
11. 
A.5.2025.Undangan Pembentukan Tim Satgas
12. 
A.5.2026.Und Pembentukan Tim Satgas Pengaduan Masyarakat
13. 
A.6.web FIPP ZI
14. 
A.7.2024.SK Satgas Penanganan Pengaduan Masyarakat 2024
15. 
A.7.2025.SK Tim Satgas Pengaduan 2025
16. 
A.7.2026.SK Tim Satgas Pengaduan 2026
17. 
A.9.screenshot banner pengaduan masyarakat di IG
18. 
A.10.Screenshot tempat pengaduan masyarakat
19. 
A.8.2024.SK Jamintu
20. 
A.8.2025.SK GUGUS PENJAMINAN MUTU 2025
21. 
A.8.2026.SK Jamintu
</t>
  </si>
  <si>
    <t xml:space="preserve">1. 
https://inspirasidikti.kemdiktisaintek.go.id/unitku/zona-integritas/2026-2235/dokumen/INOVASI Pengaduan Masyarakat 2026?file=2235-universitas-negeri-semarang/171-fakultas-ilmu-pendidikan/1772593900.pdf
2. 
https://inspirasidikti.kemdiktisaintek.go.id/unitku/zona-integritas/2026-2235/dokumen/A.1.2024.ST Narahubung SP4 Lapor?file=2235-universitas-negeri-semarang/171-fakultas-ilmu-pendidikan/1771553138.pdf
3. 
https://inspirasidikti.kemdiktisaintek.go.id/unitku/zona-integritas/2026-2235/dokumen/A.1.2025.ST Narahubung SP4 Lapor 2025?file=2235-universitas-negeri-semarang/171-fakultas-ilmu-pendidikan/1771553157.pdf
4. 
https://inspirasidikti.kemdiktisaintek.go.id/unitku/zona-integritas/2026-2235/dokumen/A.2.2024.Layanan Aduan Masyarakat?file=2235-universitas-negeri-semarang/171-fakultas-ilmu-pendidikan/1771553164.pdf
5. 
https://inspirasidikti.kemdiktisaintek.go.id/unitku/zona-integritas/2026-2235/dokumen/A.1.2026.ST Narahubung 2026?file=2235-universitas-negeri-semarang/171-fakultas-ilmu-pendidikan/1771553167.pdf
6. 
https://inspirasidikti.kemdiktisaintek.go.id/unitku/zona-integritas/2026-2235/dokumen/A.2.2025.Layanan Aduan Masyarakat?file=2235-universitas-negeri-semarang/171-fakultas-ilmu-pendidikan/1771553169.pdf
7. 
https://inspirasidikti.kemdiktisaintek.go.id/unitku/zona-integritas/2026-2235/dokumen/A.2.2026.Layanan Aduan Masyarakat?file=2235-universitas-negeri-semarang/171-fakultas-ilmu-pendidikan/1771553169.pdf
8. 
https://inspirasidikti.kemdiktisaintek.go.id/unitku/zona-integritas/2026-2235/dokumen/A.3.SOP pengaduan masyarakat?file=2235-universitas-negeri-semarang/171-fakultas-ilmu-pendidikan/1771553170.pdf
9. 
https://inspirasidikti.kemdiktisaintek.go.id/unitku/zona-integritas/2026-2235/dokumen/A.4.Sosialisasi di IG?file=2235-universitas-negeri-semarang/171-fakultas-ilmu-pendidikan/1771553190.pdf
10. 
https://inspirasidikti.kemdiktisaintek.go.id/unitku/zona-integritas/2026-2235/dokumen/A.5.2024.Undangan Pembentukan Tim Satgas?file=2235-universitas-negeri-semarang/171-fakultas-ilmu-pendidikan/1771553193.pdf
11. 
https://inspirasidikti.kemdiktisaintek.go.id/unitku/zona-integritas/2026-2235/dokumen/A.5.2025.Undangan Pembentukan Tim Satgas?file=2235-universitas-negeri-semarang/171-fakultas-ilmu-pendidikan/1771553225.pdf
12. 
https://inspirasidikti.kemdiktisaintek.go.id/unitku/zona-integritas/2026-2235/dokumen/A.5.2026.Und Pembentukan Tim Satgas Pengaduan Masyarakat?file=2235-universitas-negeri-semarang/171-fakultas-ilmu-pendidikan/1771553231.pdf
13. 
https://inspirasidikti.kemdiktisaintek.go.id/unitku/zona-integritas/2026-2235/dokumen/A.6.web FIPP ZI?file=2235-universitas-negeri-semarang/171-fakultas-ilmu-pendidikan/1771553244.pdf
14. 
https://inspirasidikti.kemdiktisaintek.go.id/unitku/zona-integritas/2026-2235/dokumen/A.7.2024.SK Satgas Penanganan Pengaduan Masyarakat 2024?file=2235-universitas-negeri-semarang/171-fakultas-ilmu-pendidikan/1771553257.pdf
15. 
https://inspirasidikti.kemdiktisaintek.go.id/unitku/zona-integritas/2026-2235/dokumen/A.7.2025.SK Tim Satgas Pengaduan 2025?file=2235-universitas-negeri-semarang/171-fakultas-ilmu-pendidikan/1771553260.pdf
16. 
https://inspirasidikti.kemdiktisaintek.go.id/unitku/zona-integritas/2026-2235/dokumen/A.7.2026.SK Tim Satgas Pengaduan 2026?file=2235-universitas-negeri-semarang/171-fakultas-ilmu-pendidikan/1771553265.pdf
17. 
https://inspirasidikti.kemdiktisaintek.go.id/unitku/zona-integritas/2026-2235/dokumen/A.9.screenshot banner pengaduan masyarakat di IG?file=2235-universitas-negeri-semarang/171-fakultas-ilmu-pendidikan/1771553307.pdf
18. 
https://inspirasidikti.kemdiktisaintek.go.id/unitku/zona-integritas/2026-2235/dokumen/A.10.Screenshot tempat pengaduan masyarakat?file=2235-universitas-negeri-semarang/171-fakultas-ilmu-pendidikan/1771553337.pdf
19. 
https://inspirasidikti.kemdiktisaintek.go.id/unitku/zona-integritas/2026-2235/dokumen/A.8.2024.SK Jamintu?file=2235-universitas-negeri-semarang/171-fakultas-ilmu-pendidikan/1771553438.pdf
20. 
https://inspirasidikti.kemdiktisaintek.go.id/unitku/zona-integritas/2026-2235/dokumen/A.8.2025.SK GUGUS PENJAMINAN MUTU 2025?file=2235-universitas-negeri-semarang/171-fakultas-ilmu-pendidikan/1771553492.pdf
21. 
https://inspirasidikti.kemdiktisaintek.go.id/unitku/zona-integritas/2026-2235/dokumen/A.8.2026.SK Jamintu?file=2235-universitas-negeri-semarang/171-fakultas-ilmu-pendidikan/1771556802.pdf
</t>
  </si>
  <si>
    <t>unit kerja telah mengimplementasikan seluruh kebijakan pengaduan masyarakat sesuai dengan yang ditetapkan organisasi, akan tetapi belum terlihat adanya inovasi</t>
  </si>
  <si>
    <t>pengaduan masyarakat dtindaklanjuti</t>
  </si>
  <si>
    <t>ya,pengaduan masyaakat ditindaklanjuti</t>
  </si>
  <si>
    <t>Setiap pengaduan masyarakat yang disampaikan, ditindaklanjuti langsung oleh pihak terkait yang dibutuhkan.</t>
  </si>
  <si>
    <t xml:space="preserve">1. 
B.2.2024.LAPORAN pengaduan masyarakat 2024
2. 
B.1.2025.Nota Dinas Pengaduan Masyarakat TW 1 2025 FIPP
3. 
B.1.2026.Nota Dinas Pengaduan Masyarakat TW 1 2026 FIPP
4. 
B.2.2025.LAPORAN pengaduan masyarakat 2025
5. 
B.2.2026.LAPORAN pengaduan masyarakat 2026
</t>
  </si>
  <si>
    <t xml:space="preserve">1. 
https://inspirasidikti.kemdiktisaintek.go.id/unitku/zona-integritas/2026-2235/dokumen/B.2.2024.LAPORAN pengaduan masyarakat 2024?file=2235-universitas-negeri-semarang/171-fakultas-ilmu-pendidikan/1771554611.pdf
2. 
https://inspirasidikti.kemdiktisaintek.go.id/unitku/zona-integritas/2026-2235/dokumen/B.1.2025.Nota Dinas Pengaduan Masyarakat TW 1 2025 FIPP?file=2235-universitas-negeri-semarang/171-fakultas-ilmu-pendidikan/1771553377.pdf
3. 
https://inspirasidikti.kemdiktisaintek.go.id/unitku/zona-integritas/2026-2235/dokumen/B.1.2026.Nota Dinas Pengaduan Masyarakat TW 1 2026 FIPP?file=2235-universitas-negeri-semarang/171-fakultas-ilmu-pendidikan/1771553378.pdf
4. 
https://inspirasidikti.kemdiktisaintek.go.id/unitku/zona-integritas/2026-2235/dokumen/B.2.2025.LAPORAN pengaduan masyarakat 2025?file=2235-universitas-negeri-semarang/171-fakultas-ilmu-pendidikan/1771553429.pdf
5. 
https://inspirasidikti.kemdiktisaintek.go.id/unitku/zona-integritas/2026-2235/dokumen/B.2.2026.LAPORAN pengaduan masyarakat 2026?file=2235-universitas-negeri-semarang/171-fakultas-ilmu-pendidikan/1771554631.pdf
</t>
  </si>
  <si>
    <t>ada dokumen perihaL TINDAK LANJUT ATAS PENGADUAN</t>
  </si>
  <si>
    <t>Telah dilakukan monitoring dan evaluasi atas penanganan pengaduan masyarakat</t>
  </si>
  <si>
    <t>a. Jika penanganan pengaduan masyarakat dimonitoring dan evaluasi secara berkala
b. Jika penanganan pengaduan masyarakat dimonitoring dan evaluasi tetapi tidak secara berkala
c. Jika penanganan pengaduan masyarakat belum di monitoring dan evaluasi</t>
  </si>
  <si>
    <t>Setiap pengaduan masyarakat yang ditindaklanjuti, dilaporkan secara berkala</t>
  </si>
  <si>
    <t xml:space="preserve">1. 
C.1.2025.Nota Dinas Pengaduan Masyarakat TW 1 2025 FIPP
2. 
C.1.2026.Nota Dinas Pengaduan Masyarakat TW 1 2026 FIPP - Copy
3. 
C.2.2025.LAPORAN pengaduan masyarakat 2025
4. 
C.3.2025.LAPORAN Monev pengaduan masyarakat TW 1
5. 
C.2.2026.LAPORAN pengaduan masyarakat 2026
6. 
C.3.2024.LAPORAN Monev pengaduan masyarakat TW 1 2024
</t>
  </si>
  <si>
    <t xml:space="preserve">1. 
https://inspirasidikti.kemdiktisaintek.go.id/unitku/zona-integritas/2026-2235/dokumen/C.1.2025.Nota Dinas Pengaduan Masyarakat TW 1 2025 FIPP?file=2235-universitas-negeri-semarang/171-fakultas-ilmu-pendidikan/1771553433.pdf
2. 
https://inspirasidikti.kemdiktisaintek.go.id/unitku/zona-integritas/2026-2235/dokumen/C.1.2026.Nota Dinas Pengaduan Masyarakat TW 1 2026 FIPP - Copy?file=2235-universitas-negeri-semarang/171-fakultas-ilmu-pendidikan/1771553434.pdf
3. 
https://inspirasidikti.kemdiktisaintek.go.id/unitku/zona-integritas/2026-2235/dokumen/C.2.2025.LAPORAN pengaduan masyarakat 2025?file=2235-universitas-negeri-semarang/171-fakultas-ilmu-pendidikan/1771553457.pdf
4. 
https://inspirasidikti.kemdiktisaintek.go.id/unitku/zona-integritas/2026-2235/dokumen/C.3.2025.LAPORAN Monev pengaduan masyarakat TW 1?file=2235-universitas-negeri-semarang/171-fakultas-ilmu-pendidikan/1771553467.pdf
5. 
https://inspirasidikti.kemdiktisaintek.go.id/unitku/zona-integritas/2026-2235/dokumen/C.2.2026.LAPORAN pengaduan masyarakat 2026?file=2235-universitas-negeri-semarang/171-fakultas-ilmu-pendidikan/1771553477.pdf
6. 
https://inspirasidikti.kemdiktisaintek.go.id/unitku/zona-integritas/2026-2235/dokumen/C.3.2024.LAPORAN Monev pengaduan masyarakat TW 1 2024?file=2235-universitas-negeri-semarang/171-fakultas-ilmu-pendidikan/1771553503.pdf
</t>
  </si>
  <si>
    <t>Telah dilakukan Monev atas penanganan pengaduan masyarakat</t>
  </si>
  <si>
    <t>Hasil evaluasi atas penanganan pengaduan masyarakat telah ditindaklanjuti</t>
  </si>
  <si>
    <t>a. Jika seluruh hasil evaluasi atas penanganan pengaduan telah ditindaklanjuti oleh unit kerja
b. Jika sebagian hasil evaluasi atas penanganan pengaduan telah ditindaklanjuti oleh unit kerja
c. Jika hasil evaluasi atas penanganan pengaduan belum ditindaklanjuti</t>
  </si>
  <si>
    <t>Hasil evaluasi pada setiap penanganan pengaduan telah ditindaklanjuti, dilaporkan pada unit/prodi masing-masing, dan menjadi pedoman peningkatan pelayanan pada masyarakat.</t>
  </si>
  <si>
    <t xml:space="preserve">1. 
D.1.2025.LAPORAN pengaduan masyarakat
2. 
D.1.2026.LAPORAN pengaduan masyarakat 2026 - Copy
</t>
  </si>
  <si>
    <t xml:space="preserve">1. 
https://inspirasidikti.kemdiktisaintek.go.id/unitku/zona-integritas/2026-2235/dokumen/D.1.2025.LAPORAN pengaduan masyarakat?file=2235-universitas-negeri-semarang/171-fakultas-ilmu-pendidikan/1771553523.pdf
2. 
https://inspirasidikti.kemdiktisaintek.go.id/unitku/zona-integritas/2026-2235/dokumen/D.1.2026.LAPORAN pengaduan masyarakat 2026 - Copy?file=2235-universitas-negeri-semarang/171-fakultas-ilmu-pendidikan/1771553551.pdf
</t>
  </si>
  <si>
    <t>Hasil evaluasi telah ditindaklanjuti</t>
  </si>
  <si>
    <t>Whistle-Blowing System</t>
  </si>
  <si>
    <t>Whistle Blowing System telah diterapkan</t>
  </si>
  <si>
    <t>a. Jika unit kerja menerapkan seluruh kebijakan Whistle Blowing System sesuai dengan yang ditetapkan organisasi dan juga membuat inovasi terkait pelaksanaan Whistle Blowing System yang sesuai dengan karakteristik unit kerja
b. Jika unit kerja menerapkan kebijakan Whistle Blowing System sesuai dengan yang ditetapkan organisasi
c. Jika unit kerja belum menerapkan kebijakan Whistle Blowing System</t>
  </si>
  <si>
    <t>unit kerja menerapkan seluruh kebijakan Whistle Blowing System sesuai dengan yang ditetapkan organisasi dan juga membuat inovasi terkait pelaksanaan Whistle</t>
  </si>
  <si>
    <t xml:space="preserve">1. 
WhatsApp Image 2024-12-09 at 12.10.40 (1)
2. 
WhatsApp Image 2024-12-09 at 12.10.43 (1)
3. 
WhatsApp Image 2024-12-09 at 12.22.34 (1)
4. 
Pedoman WBS FIPP 2026
5. 
SK  WBS 2026
</t>
  </si>
  <si>
    <t xml:space="preserve">1. 
https://inspirasidikti.kemdiktisaintek.go.id/unitku/zona-integritas/2026-2235/dokumen/WhatsApp Image 2024-12-09 at 12.10.40 (1)?file=2235-universitas-negeri-semarang/171-fakultas-ilmu-pendidikan/1770959873.pdf
2. 
https://inspirasidikti.kemdiktisaintek.go.id/unitku/zona-integritas/2026-2235/dokumen/WhatsApp Image 2024-12-09 at 12.10.43 (1)?file=2235-universitas-negeri-semarang/171-fakultas-ilmu-pendidikan/1770959883.pdf
3. 
https://inspirasidikti.kemdiktisaintek.go.id/unitku/zona-integritas/2026-2235/dokumen/WhatsApp Image 2024-12-09 at 12.22.34 (1)?file=2235-universitas-negeri-semarang/171-fakultas-ilmu-pendidikan/1770959894.pdf
4. 
https://inspirasidikti.kemdiktisaintek.go.id/unitku/zona-integritas/2026-2235/dokumen/Pedoman WBS FIPP 2026?file=2235-universitas-negeri-semarang/171-fakultas-ilmu-pendidikan/1770960294.pdf
5. 
https://inspirasidikti.kemdiktisaintek.go.id/unitku/zona-integritas/2026-2235/dokumen/SK  WBS 2026?file=2235-universitas-negeri-semarang/171-fakultas-ilmu-pendidikan/1770960317.pdf
</t>
  </si>
  <si>
    <t>Sudah ada panduan WBS , belum  ada bukti inovasi yang diterapkan</t>
  </si>
  <si>
    <t>Telah dilakukan evaluasi atas penerapan Whistle Blowing System</t>
  </si>
  <si>
    <t>a. Jika penerapan Whistle Blowing System dimonitoring dan evaluasi secara berkala
b. Jika penerapan Whistle Blowing System dimonitoring dan evaluasi tidak secara berkala
c. Jika penerapan Whistle Blowing System belum di monitoring dan evaluasi</t>
  </si>
  <si>
    <t>Secara keseluruhan, penerapan WBS di tingkat Fakultas dan TIM ZI dinilai [Efektif/Cukup Efektif]. Rekomendasi utama mencakup sosialisasi intensif saat kegiatan pengenalan kampus dan penguatan koordinasi antara Tim ZI Fakultas dengan manager area.</t>
  </si>
  <si>
    <t>1. 
LAPORAN  WBS  2026.1.</t>
  </si>
  <si>
    <t>https://inspirasidikti.kemdiktisaintek.go.id/unitku/zona-integritas/2026-2235/dokumen/LAPORAN  WBS  2026.1.?file=2235-universitas-negeri-semarang/171-fakultas-ilmu-pendidikan/1770961126.pdf</t>
  </si>
  <si>
    <t>Telah dilakukan evaluasi atas penerapan WBS</t>
  </si>
  <si>
    <t>Hasil evaluasi atas penerapan Whistle Blowing System telah ditindaklanjuti</t>
  </si>
  <si>
    <t>a. Jika seluruh hasil evaluasi atas penerapan Whistle Blowing System telah ditindaklanjuti oleh unit kerja
b. Jika sebagian hasil evaluasi atas penerapan Whistle Blowing System telah ditindaklanjuti oleh unit kerja
c. Jika hasil evaluasi atas penerapan Whistle Blowing System belum ditindaklanjuti</t>
  </si>
  <si>
    <t>1. 
laporan tindak lanjut WBS</t>
  </si>
  <si>
    <t>https://inspirasidikti.kemdiktisaintek.go.id/unitku/zona-integritas/2026-2235/dokumen/laporan tindak lanjut WBS?file=2235-universitas-negeri-semarang/171-fakultas-ilmu-pendidikan/1770961505.pdf</t>
  </si>
  <si>
    <t>Hasil evaluasi telah ditindak lanjuti</t>
  </si>
  <si>
    <t xml:space="preserve">Penanganan Benturan Kepentingan </t>
  </si>
  <si>
    <t>Telah terdapat identifikasi/pemetaan benturan kepentingan dalam tugas fungsi utama</t>
  </si>
  <si>
    <t>a. Jika terdapat  identifikasi/pemetaan benturan kepentingan pada seluruh tugas fungsi utama
b. Jika terdapat  identifikasi/pemetaan benturan kepentingan tetapi pada sebagian besar tugas fungsi utama
c. Jika terdapat  identifikasi/pemetaan benturan kepentingan tetapi pada sebagian kecil tugas fungsi utama
d. Jika belum terdapat  identifikasi/pemetaan benturan kepentingan dalam tugas fungsi utama</t>
  </si>
  <si>
    <t>terdapat identifikasi/pemetaan benturan kepentingan pada seluruh tugas fungsi utama</t>
  </si>
  <si>
    <t xml:space="preserve">1. 
_IDENTIFIKASI _PEMETAAN PENANGANAN BENTURAN KEPENTINGAN
2. 
IDENTIFIKASI 2024
3. 
IDENTIFIKASI 2025
4. 
PERATURAN DEKAN BENTURAN KEPENTINGAN (1)
5. 
PERATURAN DEKAN BENTURAN KEPENTINGAN
6. 
No-31
</t>
  </si>
  <si>
    <t xml:space="preserve">1. 
https://inspirasidikti.kemdiktisaintek.go.id/unitku/zona-integritas/2026-2235/dokumen/_IDENTIFIKASI _PEMETAAN PENANGANAN BENTURAN KEPENTINGAN?file=2235-universitas-negeri-semarang/171-fakultas-ilmu-pendidikan/1771426237.pdf
2. 
https://inspirasidikti.kemdiktisaintek.go.id/unitku/zona-integritas/2026-2235/dokumen/IDENTIFIKASI 2024?file=2235-universitas-negeri-semarang/171-fakultas-ilmu-pendidikan/1771426256.pdf
3. 
https://inspirasidikti.kemdiktisaintek.go.id/unitku/zona-integritas/2026-2235/dokumen/IDENTIFIKASI 2025?file=2235-universitas-negeri-semarang/171-fakultas-ilmu-pendidikan/1771426271.pdf
4. 
https://inspirasidikti.kemdiktisaintek.go.id/unitku/zona-integritas/2026-2235/dokumen/PERATURAN DEKAN BENTURAN KEPENTINGAN (1)?file=2235-universitas-negeri-semarang/171-fakultas-ilmu-pendidikan/1771426290.pdf
5. 
https://inspirasidikti.kemdiktisaintek.go.id/unitku/zona-integritas/2026-2235/dokumen/PERATURAN DEKAN BENTURAN KEPENTINGAN?file=2235-universitas-negeri-semarang/171-fakultas-ilmu-pendidikan/1771426303.pdf
6. 
https://inspirasidikti.kemdiktisaintek.go.id/unitku/zona-integritas/2026-2235/dokumen/No-31?file=2235-universitas-negeri-semarang/171-fakultas-ilmu-pendidikan/1771426307.pdf
</t>
  </si>
  <si>
    <t>sudah ada dokumen terkait</t>
  </si>
  <si>
    <t>Penanganan Benturan Kepentingan telah disosialisasikan/internalisasi</t>
  </si>
  <si>
    <t>a. Jika penanganan Benturan Kepentingan disosialiasikan/diinternalisasikan ke seluruh layanan
b. Jika penanganan Benturan Kepentingan disosialiasikan/diinternalisasikan ke sebagian besar layanan
c.  Jika penanganan Benturan Kepentingan disosialiasikan/diinternalisasikan ke sebagian kecil layanan
d.  Jika penanganan Benturan Kepentingan belum disosialiasikan/diinternalisasikan ke seluruh layanan</t>
  </si>
  <si>
    <t>penanganan Benturan Kepentingan disosialiasikan/diinternalisasikan ke seluruh layanan</t>
  </si>
  <si>
    <t xml:space="preserve">1. 
Notulensi Sosialisasi 2025
2. 
DOKUMEN INTERNALISASI PENANGANAN BENTURAN KEPENTINGAN 2025
3. 
DOKUMEN INTERNALISASI PENANGANAN BENTURAN KEPENTINGAN KEPADA PEGAWAI 2024
4. 
DOKUMENTASI KEGIATAN PLENO DAN SOSIALISASI SPIP, BENTURAN KEPENTINGAN 2024
5. 
Dokumentasi Sosialisasi 2025 (1)
6. 
Materi Sosialisasi
7. 
Notulensi Sosialisasi 2024
8. 
Sosialisasi Benturan Kepentingan 2025
</t>
  </si>
  <si>
    <t xml:space="preserve">1. 
https://inspirasidikti.kemdiktisaintek.go.id/unitku/zona-integritas/2026-2235/dokumen/Notulensi Sosialisasi 2025?file=2235-universitas-negeri-semarang/171-fakultas-ilmu-pendidikan/1771426699.pdf
2. 
https://inspirasidikti.kemdiktisaintek.go.id/unitku/zona-integritas/2026-2235/dokumen/DOKUMEN INTERNALISASI PENANGANAN BENTURAN KEPENTINGAN 2025?file=2235-universitas-negeri-semarang/171-fakultas-ilmu-pendidikan/1771426475.pdf
3. 
https://inspirasidikti.kemdiktisaintek.go.id/unitku/zona-integritas/2026-2235/dokumen/DOKUMEN INTERNALISASI PENANGANAN BENTURAN KEPENTINGAN KEPADA PEGAWAI 2024?file=2235-universitas-negeri-semarang/171-fakultas-ilmu-pendidikan/1771426494.pdf
4. 
https://inspirasidikti.kemdiktisaintek.go.id/unitku/zona-integritas/2026-2235/dokumen/DOKUMENTASI KEGIATAN PLENO DAN SOSIALISASI SPIP, BENTURAN KEPENTINGAN 2024?file=2235-universitas-negeri-semarang/171-fakultas-ilmu-pendidikan/1771426510.pdf
5. 
https://inspirasidikti.kemdiktisaintek.go.id/unitku/zona-integritas/2026-2235/dokumen/Dokumentasi Sosialisasi 2025 (1)?file=2235-universitas-negeri-semarang/171-fakultas-ilmu-pendidikan/1771426521.pdf
6. 
https://inspirasidikti.kemdiktisaintek.go.id/unitku/zona-integritas/2026-2235/dokumen/Materi Sosialisasi?file=2235-universitas-negeri-semarang/171-fakultas-ilmu-pendidikan/1771426544.pdf
7. 
https://inspirasidikti.kemdiktisaintek.go.id/unitku/zona-integritas/2026-2235/dokumen/Notulensi Sosialisasi 2024?file=2235-universitas-negeri-semarang/171-fakultas-ilmu-pendidikan/1771426611.pdf
8. 
https://inspirasidikti.kemdiktisaintek.go.id/unitku/zona-integritas/2026-2235/dokumen/Sosialisasi Benturan Kepentingan 2025?file=2235-universitas-negeri-semarang/171-fakultas-ilmu-pendidikan/1771426714.pdf
</t>
  </si>
  <si>
    <t>sudah ada dokumen penanganan benturan kepentingan dan disosialisasikan</t>
  </si>
  <si>
    <t>Penanganan Benturan Kepentingan telah diimplementasikan</t>
  </si>
  <si>
    <t>a. Jika penanganan Benturan Kepentingan diimplementasikan ke seluruh layanan
b. Jika penanganan Benturan Kepentingan diimplementasikan ke sebagian besar layanan
c. Jika penanganan Benturan Kepentingan diimplementasikan ke sebagian kecil layanan
d. Jika penanganan Benturan Kepentingan belum diimplementasikan ke seluruh layanan</t>
  </si>
  <si>
    <t>FIPP telah melaksanakan penanganan Benturan Kepentingan diimplementasikan ke seluruh layanan</t>
  </si>
  <si>
    <t xml:space="preserve">1. 
FORMULIR IDENTIFIKASI BENTURAN KEPENTINGAN 2025
2. 
INSTRUMEN BENTURAN KEPENTINGAN UNIVERSITAS
3. 
SK Tim Benturan Kepentingan
4. 
SURAT PERNYATAAN BEBAS DARI BENTURAN KEPENTINGAN (2)
</t>
  </si>
  <si>
    <t xml:space="preserve">1. 
https://inspirasidikti.kemdiktisaintek.go.id/unitku/zona-integritas/2026-2235/dokumen/FORMULIR IDENTIFIKASI BENTURAN KEPENTINGAN 2025?file=2235-universitas-negeri-semarang/171-fakultas-ilmu-pendidikan/1771427324.pdf
2. 
https://inspirasidikti.kemdiktisaintek.go.id/unitku/zona-integritas/2026-2235/dokumen/INSTRUMEN BENTURAN KEPENTINGAN UNIVERSITAS?file=2235-universitas-negeri-semarang/171-fakultas-ilmu-pendidikan/1771427827.pdf
3. 
https://inspirasidikti.kemdiktisaintek.go.id/unitku/zona-integritas/2026-2235/dokumen/SK Tim Benturan Kepentingan?file=2235-universitas-negeri-semarang/171-fakultas-ilmu-pendidikan/1771427836.pdf
4. 
https://inspirasidikti.kemdiktisaintek.go.id/unitku/zona-integritas/2026-2235/dokumen/SURAT PERNYATAAN BEBAS DARI BENTURAN KEPENTINGAN (2)?file=2235-universitas-negeri-semarang/171-fakultas-ilmu-pendidikan/1771427846.pdf
</t>
  </si>
  <si>
    <t>Penangananan benturan telah diimplementasikan</t>
  </si>
  <si>
    <t>Telah dilakukan evaluasi atas Penanganan Benturan Kepentingan</t>
  </si>
  <si>
    <t>a. Jika penanganan Benturan Kepentingan dievaluasi secara berkala oleh unit kerja
b. Jika penanganan Benturan Kepentingan dievaluasi tetapi tidak secara berkala oleh unit kerja
c. Jika penanganan Benturan Kepentingan belum dievaluasi oleh unit kerja</t>
  </si>
  <si>
    <t xml:space="preserve">1. 
LAPORAN EVALUASI BENTURAN KEPENTINGAN BERKALA 2024
2. 
LAPORAN EVALUASI BK BERKALA 2025
3. 
LAPORAN EVALUASI PENANGANAN  BENTURAN KEPENTINGAN 2024
4. 
LAPORAN EVALUASI PENANGANAN BK 2025
</t>
  </si>
  <si>
    <t xml:space="preserve">1. 
https://inspirasidikti.kemdiktisaintek.go.id/unitku/zona-integritas/2026-2235/dokumen/LAPORAN EVALUASI BENTURAN KEPENTINGAN BERKALA 2024?file=2235-universitas-negeri-semarang/171-fakultas-ilmu-pendidikan/1771427891.pdf
2. 
https://inspirasidikti.kemdiktisaintek.go.id/unitku/zona-integritas/2026-2235/dokumen/LAPORAN EVALUASI BK BERKALA 2025?file=2235-universitas-negeri-semarang/171-fakultas-ilmu-pendidikan/1771427900.pdf
3. 
https://inspirasidikti.kemdiktisaintek.go.id/unitku/zona-integritas/2026-2235/dokumen/LAPORAN EVALUASI PENANGANAN  BENTURAN KEPENTINGAN 2024?file=2235-universitas-negeri-semarang/171-fakultas-ilmu-pendidikan/1771427911.pdf
4. 
https://inspirasidikti.kemdiktisaintek.go.id/unitku/zona-integritas/2026-2235/dokumen/LAPORAN EVALUASI PENANGANAN BK 2025?file=2235-universitas-negeri-semarang/171-fakultas-ilmu-pendidikan/1771427920.pdf
</t>
  </si>
  <si>
    <t>Sduah ada dokumen evaluasi atas penanganan benturan kepentingan</t>
  </si>
  <si>
    <t>Hasil evaluasi atas Penanganan Benturan Kepentingan telah ditindaklanjuti</t>
  </si>
  <si>
    <t>a. Jika seluruh hasil evaluasi atas Penanganan Benturan Kepentingan telah ditindaklanjuti oleh unit kerja
b. Jika sebagian hasil evaluasi atas Penanganan Benturan Kepentingan telah ditindaklanjuti oleh unit kerja
c. Jika belum ada hasil evaluasi atas Penanganan Benturan Kepentingan yang ditindaklanjuti unit kerja</t>
  </si>
  <si>
    <t xml:space="preserve">1. 
LAPORAN TINDAK LANJUT 2024
2. 
LAPORAN TINDAK LANJUT benturan kepentingan TW 1 2025
</t>
  </si>
  <si>
    <t xml:space="preserve">1. 
https://inspirasidikti.kemdiktisaintek.go.id/unitku/zona-integritas/2026-2235/dokumen/LAPORAN TINDAK LANJUT 2024?file=2235-universitas-negeri-semarang/171-fakultas-ilmu-pendidikan/1771427940.pdf
2. 
https://inspirasidikti.kemdiktisaintek.go.id/unitku/zona-integritas/2026-2235/dokumen/LAPORAN TINDAK LANJUT benturan kepentingan TW 1 2025?file=2235-universitas-negeri-semarang/171-fakultas-ilmu-pendidikan/1771427950.pdf
</t>
  </si>
  <si>
    <t>sudah ada dokumen tindak lanjut</t>
  </si>
  <si>
    <t>PENINGKATAN KUALITAS PELAYANAN PUBLIK</t>
  </si>
  <si>
    <t>Standar Pelayanan</t>
  </si>
  <si>
    <t>Terdapat kebijakan standar pelayanan</t>
  </si>
  <si>
    <t>a. Terdapat penetapan Standar Pelayanan terhadap seluruh jenis pelayanan, dan sesuai asas serta komponen standar pelayanan publik yang berlaku
b. Terdapat penetapan Standar Pelayanan terhadap sebagian jenis pelayanan, dan sesuai asas serta komponen standar pelayanan publik yang berlaku
c. Terdapat penetapan Standar Pelayanan terhadap seluruh jenis pelayanan, namun tidak sesuai asas serta komponen standar pelayanan publik yang berlaku
d. Terdapat penetapan Standar Pelayanan terhadap sebagian jenis pelayanan, namun tidak sesuai asas serta komponen standar pelayanan publik yang berlaku
e. Standar Pelayanan belum ditetapkan</t>
  </si>
  <si>
    <t>Fakultas Ilmu pendidikan dan Psikologi telah memiliki Standar Pelayanan Publik di Lingkungan Fakultas yang diturunkan dari Keputusan Rektor terkait dengan Standar Layanan di tingkat Universitas</t>
  </si>
  <si>
    <t xml:space="preserve">1. 
LINK MAKLUMAT YANG DIPUBLIKASI DI WEBSITE &amp; INSTGRAM
2. 
Maklumat yang dipublikasi di web
3. 
SOP SDM
4. 
Link GDRIVE bukti kebijakan standar pelayanan
5. 
SK Penanggung jawab SOP Mb Yuli (1)
6. 
SOP LAB TERPADU_2025 Revisi
7. 
publikasi di media online
8. 
Kep Rektor Standar Layanan (1)
9. 
SOP layanan inovasi_  Peer Counseling Services As a Peer Counselor (1)
10. 
SOP LAYANAN AKADEMIK
</t>
  </si>
  <si>
    <t xml:space="preserve">1. 
https://inspirasidikti.kemdiktisaintek.go.id/unitku/zona-integritas/2026-2235/dokumen/LINK MAKLUMAT YANG DIPUBLIKASI DI WEBSITE &amp; INSTGRAM?file=2235-universitas-negeri-semarang/171-fakultas-ilmu-pendidikan/1770694745.pdf
2. 
https://inspirasidikti.kemdiktisaintek.go.id/unitku/zona-integritas/2026-2235/dokumen/Maklumat yang dipublikasi di web?file=2235-universitas-negeri-semarang/171-fakultas-ilmu-pendidikan/1770694835.pdf
3. 
https://inspirasidikti.kemdiktisaintek.go.id/unitku/zona-integritas/2026-2235/dokumen/SOP SDM?file=2235-universitas-negeri-semarang/171-fakultas-ilmu-pendidikan/1770694869.pdf
4. 
https://inspirasidikti.kemdiktisaintek.go.id/unitku/zona-integritas/2026-2235/dokumen/Link GDRIVE bukti kebijakan standar pelayanan?file=2235-universitas-negeri-semarang/171-fakultas-ilmu-pendidikan/1770694878.pdf
5. 
https://inspirasidikti.kemdiktisaintek.go.id/unitku/zona-integritas/2026-2235/dokumen/SK Penanggung jawab SOP Mb Yuli (1)?file=2235-universitas-negeri-semarang/171-fakultas-ilmu-pendidikan/1770694888.pdf
6. 
https://inspirasidikti.kemdiktisaintek.go.id/unitku/zona-integritas/2026-2235/dokumen/SOP LAB TERPADU_2025 Revisi?file=2235-universitas-negeri-semarang/171-fakultas-ilmu-pendidikan/1770694897.pdf
7. 
https://inspirasidikti.kemdiktisaintek.go.id/unitku/zona-integritas/2026-2235/dokumen/publikasi di media online?file=2235-universitas-negeri-semarang/171-fakultas-ilmu-pendidikan/1770694905.pdf
8. 
https://inspirasidikti.kemdiktisaintek.go.id/unitku/zona-integritas/2026-2235/dokumen/Kep Rektor Standar Layanan (1)?file=2235-universitas-negeri-semarang/171-fakultas-ilmu-pendidikan/1770694918.pdf
9. 
https://inspirasidikti.kemdiktisaintek.go.id/unitku/zona-integritas/2026-2235/dokumen/SOP layanan inovasi_  Peer Counseling Services As a Peer Counselor (1)?file=2235-universitas-negeri-semarang/171-fakultas-ilmu-pendidikan/1772518731.pdf
10. 
https://inspirasidikti.kemdiktisaintek.go.id/unitku/zona-integritas/2026-2235/dokumen/SOP LAYANAN AKADEMIK?file=2235-universitas-negeri-semarang/171-fakultas-ilmu-pendidikan/1772588499.pdf
</t>
  </si>
  <si>
    <t>SOP Standar pelayanan  terhadap seluruh jenis pelayanan yang ada perlu dimasukkan</t>
  </si>
  <si>
    <t>Standar pelayanan telah dimaklumatkan</t>
  </si>
  <si>
    <t>a. Standar pelayanan telah dimaklumatkan pada seluruh jenis pelayanan dan dipublikasikan di website dan media lainnya
b. Standar pelayanan telah dimaklumatkan pada sebagian besar jenis pelayanan dan dipublikasikan minimal di website
c. Standar pelayanan telah dimaklumatkan pada sebagian kecil  jenis pelayanan dan belum dipublikasikan
d. Standar pelayanan belum dimaklumatkan pada seluruh jenis pelayanan dan belum dipublikasikan</t>
  </si>
  <si>
    <t>Standar Pelayanan Publik di Lingkungan Fakultas Ilmu Pendidikan dan Psikologi telah dimaklumatkan di Unit Layanan Publik dan dipublikasikan di laman website/instgram Fakultas Ilmu Pendidikan dan Psikologi.</t>
  </si>
  <si>
    <t xml:space="preserve">1. 
Maklumat Tahun 2025
2. 
Maklumat pelayanan (tahun 2023)
3. 
Maklumat yang dipublikasikan manual di setiap gedung (tahun 2024) (1)
4. 
SK Maklumat ZI
5. 
Maklumat yang dipublikasi di web (2024)
6. 
Maklumat Tahun 2026
</t>
  </si>
  <si>
    <t xml:space="preserve">1. 
https://inspirasidikti.kemdiktisaintek.go.id/unitku/zona-integritas/2026-2235/dokumen/Maklumat Tahun 2025?file=2235-universitas-negeri-semarang/171-fakultas-ilmu-pendidikan/1772583795.pdf
2. 
https://inspirasidikti.kemdiktisaintek.go.id/unitku/zona-integritas/2026-2235/dokumen/Maklumat pelayanan (tahun 2023)?file=2235-universitas-negeri-semarang/171-fakultas-ilmu-pendidikan/1770784744.pdf
3. 
https://inspirasidikti.kemdiktisaintek.go.id/unitku/zona-integritas/2026-2235/dokumen/Maklumat yang dipublikasikan manual di setiap gedung (tahun 2024) (1)?file=2235-universitas-negeri-semarang/171-fakultas-ilmu-pendidikan/1770784763.pdf
4. 
https://inspirasidikti.kemdiktisaintek.go.id/unitku/zona-integritas/2026-2235/dokumen/SK Maklumat ZI?file=2235-universitas-negeri-semarang/171-fakultas-ilmu-pendidikan/1770784774.pdf
5. 
https://inspirasidikti.kemdiktisaintek.go.id/unitku/zona-integritas/2026-2235/dokumen/Maklumat yang dipublikasi di web (2024)?file=2235-universitas-negeri-semarang/171-fakultas-ilmu-pendidikan/1770785399.pdf
6. 
https://inspirasidikti.kemdiktisaintek.go.id/unitku/zona-integritas/2026-2235/dokumen/Maklumat Tahun 2026?file=2235-universitas-negeri-semarang/171-fakultas-ilmu-pendidikan/1772583803.pdf
</t>
  </si>
  <si>
    <t>Standar pelayanan telah dimaklumatkan perlu lebih jelas untuk keseluruhan jenis pelayanan</t>
  </si>
  <si>
    <t>Dilakukan reviu dan perbaikan atas standar pelayanan</t>
  </si>
  <si>
    <t>a. Dilakukan reviu dan perbaikan atas standar pelayanan dan dilakukan dengan melibatkan stakeholders (antara lain : tokoh masyarakat,  akademisi, dunia usaha, dan lembaga swadaya masyarakat), serta memanfaatkan masukan hasil SKM dan pengaduan masyarakat
b. Dilakukan reviu dan perbaikan atas standar pelayanan dan dilakukan dengan memanfaatkan masukan hasil SKM dan pengaduan masyarakat, namun tanpa melibatkan stakeholders
c. Dilakukan reviu dan perbaikan atas standar pelayanan, namun  dilakukan tanpa memanfaatkan masukan hasil SKM dan pengaduan masyarakat, serta tanpa melibatkan stakeholders
d. Belum dilakukan reviu dan perbaikan atas standar pelayanan</t>
  </si>
  <si>
    <t>Fakultas Ilmu Pendidikan dan Psikologi telah melakukan review dan perbaikan berdasarkan  survey kepuasan masyarakat dan dilakukan audit mutu internal di masing-masing unit untuk mendapatkan hasil kepuasan layanan yang dipubilkasikan dalam rapat tinjauan manajemen ditingkat univeristas.</t>
  </si>
  <si>
    <t xml:space="preserve">1. 
BA REVIEW STANDAR PELAYANAN 2024
2. 
Link GDrive dan bukti melibatkan stakeholder dan masukan SKM
3. 
PERBAIKAN SOP (tahun 2024)
4. 
Review ZI
5. 
SK Dekan Tentang Reviewer ZI
</t>
  </si>
  <si>
    <t xml:space="preserve">1. 
https://inspirasidikti.kemdiktisaintek.go.id/unitku/zona-integritas/2026-2235/dokumen/BA REVIEW STANDAR PELAYANAN 2024?file=2235-universitas-negeri-semarang/171-fakultas-ilmu-pendidikan/1770784953.pdf
2. 
https://inspirasidikti.kemdiktisaintek.go.id/unitku/zona-integritas/2026-2235/dokumen/Link GDrive dan bukti melibatkan stakeholder dan masukan SKM?file=2235-universitas-negeri-semarang/171-fakultas-ilmu-pendidikan/1770784960.pdf
3. 
https://inspirasidikti.kemdiktisaintek.go.id/unitku/zona-integritas/2026-2235/dokumen/PERBAIKAN SOP (tahun 2024)?file=2235-universitas-negeri-semarang/171-fakultas-ilmu-pendidikan/1770784968.pdf
4. 
https://inspirasidikti.kemdiktisaintek.go.id/unitku/zona-integritas/2026-2235/dokumen/Review ZI?file=2235-universitas-negeri-semarang/171-fakultas-ilmu-pendidikan/1770784979.pdf
5. 
https://inspirasidikti.kemdiktisaintek.go.id/unitku/zona-integritas/2026-2235/dokumen/SK Dekan Tentang Reviewer ZI?file=2235-universitas-negeri-semarang/171-fakultas-ilmu-pendidikan/1770784990.pdf
</t>
  </si>
  <si>
    <t>perbaikan SOP melibatkan stakeholder</t>
  </si>
  <si>
    <t>telah melakukan publikasi atas standar pelayanan dan maklumat pelayanan</t>
  </si>
  <si>
    <t>ya,telah melakukan publikasi atas tandar pelayanan dan maklumat pelayanan</t>
  </si>
  <si>
    <t xml:space="preserve">1. 
Maklumat yang dipublikasi di web (2024)
2. 
Maklumat yang dipublikasikan manual di setiap gedung (tahun 2024) (1)
3. 
publikasi di media online
4. 
LINK MAKLUMAT YANG DIPUBLIKASI DI WEBSITE &amp; INSTGRAM
5. 
Maklumat pelayanan (tahun 2023)
6. 
SK Maklumat ZI
7. 
publikasi di media online
</t>
  </si>
  <si>
    <t xml:space="preserve">1. 
https://inspirasidikti.kemdiktisaintek.go.id/unitku/zona-integritas/2026-2235/dokumen/Maklumat yang dipublikasi di web (2024)?file=2235-universitas-negeri-semarang/171-fakultas-ilmu-pendidikan/1770784817.pdf
2. 
https://inspirasidikti.kemdiktisaintek.go.id/unitku/zona-integritas/2026-2235/dokumen/Maklumat yang dipublikasikan manual di setiap gedung (tahun 2024) (1)?file=2235-universitas-negeri-semarang/171-fakultas-ilmu-pendidikan/1770784827.pdf
3. 
https://inspirasidikti.kemdiktisaintek.go.id/unitku/zona-integritas/2026-2235/dokumen/publikasi di media online?file=2235-universitas-negeri-semarang/171-fakultas-ilmu-pendidikan/1770784858.pdf
4. 
https://inspirasidikti.kemdiktisaintek.go.id/unitku/zona-integritas/2026-2235/dokumen/LINK MAKLUMAT YANG DIPUBLIKASI DI WEBSITE &amp; INSTGRAM?file=2235-universitas-negeri-semarang/171-fakultas-ilmu-pendidikan/1770784900.pdf
5. 
https://inspirasidikti.kemdiktisaintek.go.id/unitku/zona-integritas/2026-2235/dokumen/Maklumat pelayanan (tahun 2023)?file=2235-universitas-negeri-semarang/171-fakultas-ilmu-pendidikan/1770785480.pdf
6. 
https://inspirasidikti.kemdiktisaintek.go.id/unitku/zona-integritas/2026-2235/dokumen/SK Maklumat ZI?file=2235-universitas-negeri-semarang/171-fakultas-ilmu-pendidikan/1770785493.pdf
7. 
https://inspirasidikti.kemdiktisaintek.go.id/unitku/zona-integritas/2026-2235/dokumen/publikasi di media online?file=2235-universitas-negeri-semarang/171-fakultas-ilmu-pendidikan/1770785505.pdf
</t>
  </si>
  <si>
    <t>Budaya Pelayanan Prima</t>
  </si>
  <si>
    <t>Telah dilakukan berbagai upaya peningkatan kemampuan dan/atau kompetensi tentang penerapan budaya pelayanan prima</t>
  </si>
  <si>
    <t>a. Telah dilakukan pelatihan/sosialisasi pelayanan prima secara berkelanjutan dan terjadwal, sehingga seluruh petugas/pelaksana layanan memiliki kompetensi sesuai kebutuhan jenis layanan serta telah dan terdapat monev yang melihat kemampuan/kecakapan petugas/pelaksana layanan
b. Telah dilakukan pelatihan/sosialisasi pelayanan prima, dan  seluruh petugas/pelaksana layanan memiliki kompetensi sesuai kebutuhan jenis layanan
c. Telah dilakukan pelatihan/sosialisasi pelayanan prima, akan tetapi baru sebagian besar petugas/pelaksana layanan memiliki kompetensi sesuai kebutuhan jenis layanan 
d. Telah dilakukan pelatihan/sosialisasi pelayanan prima namun secara terbatas, sehingga hanya sebagian kecil petugas/pelaksana layanan yang memiliki kompetensi sesuai kebutuhan jenis layanan 
e. Belum dilakukan pelatihan/sosialisasi pelayanan prima, dan seluruh petugas/pelaksana layanan belum memiliki kompetensi sesuai kebutuhan jenis layanan</t>
  </si>
  <si>
    <t>Fakultas Ilmu Pendidikan dan Psikologi  telah melaksanakan pelatihan kepada petugas pelayanan agar memiliki kompetensi yang sesuai kebutuhan layanan yang ada di unit</t>
  </si>
  <si>
    <t xml:space="preserve">1. 
B25493 Undangan Pelatihan Sertfikasi BNSP Pengelolaan Adm Keu-1
2. 
Daftar Hadir Laboratorium Terpadu 2024 (1)
3. 
DOKUMENTASI PELATIHAN PENYUSUNAN SOP LAYANAN LABORATORIUM 2024
4. 
LINK GDRIVE SERTIFIKAT WORSHOP PELATIHAN PENYUSUNAN SOP LAYANAN LABORATORIUM
5. 
SERTIFIKAT WORKSHOP SOP_Kinanthi Wahyu Prastuti
6. 
Surat Tugas_ST Pelatihan _Pengelolaan Laboratorium bagi Pranata Laboratorium Pendidikan__2023-10-02 08_55_56 (1) (3)
7. 
Undangan Worksop SOP Laboratorium 2024
8. 
Sertifikat Manajemen Resiko
9. 
B25501 Surat Tugas Pelatihan dan Sertifikasi Pengelolaan Adm Keu
</t>
  </si>
  <si>
    <t xml:space="preserve">1. 
https://inspirasidikti.kemdiktisaintek.go.id/unitku/zona-integritas/2026-2235/dokumen/B25493 Undangan Pelatihan Sertfikasi BNSP Pengelolaan Adm Keu-1?file=2235-universitas-negeri-semarang/171-fakultas-ilmu-pendidikan/1770950659.pdf
2. 
https://inspirasidikti.kemdiktisaintek.go.id/unitku/zona-integritas/2026-2235/dokumen/Daftar Hadir Laboratorium Terpadu 2024 (1)?file=2235-universitas-negeri-semarang/171-fakultas-ilmu-pendidikan/1770949771.pdf
3. 
https://inspirasidikti.kemdiktisaintek.go.id/unitku/zona-integritas/2026-2235/dokumen/DOKUMENTASI PELATIHAN PENYUSUNAN SOP LAYANAN LABORATORIUM 2024?file=2235-universitas-negeri-semarang/171-fakultas-ilmu-pendidikan/1770950074.pdf
4. 
https://inspirasidikti.kemdiktisaintek.go.id/unitku/zona-integritas/2026-2235/dokumen/LINK GDRIVE SERTIFIKAT WORSHOP PELATIHAN PENYUSUNAN SOP LAYANAN LABORATORIUM?file=2235-universitas-negeri-semarang/171-fakultas-ilmu-pendidikan/1770950080.pdf
5. 
https://inspirasidikti.kemdiktisaintek.go.id/unitku/zona-integritas/2026-2235/dokumen/SERTIFIKAT WORKSHOP SOP_Kinanthi Wahyu Prastuti?file=2235-universitas-negeri-semarang/171-fakultas-ilmu-pendidikan/1770950088.pdf
6. 
https://inspirasidikti.kemdiktisaintek.go.id/unitku/zona-integritas/2026-2235/dokumen/Surat Tugas_ST Pelatihan _Pengelolaan Laboratorium bagi Pranata Laboratorium Pendidikan__2023-10-02 08_55_56 (1) (3)?file=2235-universitas-negeri-semarang/171-fakultas-ilmu-pendidikan/1770950102.pdf
7. 
https://inspirasidikti.kemdiktisaintek.go.id/unitku/zona-integritas/2026-2235/dokumen/Undangan Worksop SOP Laboratorium 2024?file=2235-universitas-negeri-semarang/171-fakultas-ilmu-pendidikan/1770950116.pdf
8. 
https://inspirasidikti.kemdiktisaintek.go.id/unitku/zona-integritas/2026-2235/dokumen/Sertifikat Manajemen Resiko?file=2235-universitas-negeri-semarang/171-fakultas-ilmu-pendidikan/1770950224.pdf
9. 
https://inspirasidikti.kemdiktisaintek.go.id/unitku/zona-integritas/2026-2235/dokumen/B25501 Surat Tugas Pelatihan dan Sertifikasi Pengelolaan Adm Keu?file=2235-universitas-negeri-semarang/171-fakultas-ilmu-pendidikan/1770950665.pdf
</t>
  </si>
  <si>
    <t>sudah dilakukan berbagai upaya peningkatan kemampuan peningkatan budaya prima</t>
  </si>
  <si>
    <t>Informasi tentang pelayanan mudah diakses melalui berbagai media</t>
  </si>
  <si>
    <t>a. Seluruh Informasi tentang pelayanan dapat diakses secara online (website/media sosial) dan terhubung dengan sistem informasi pelayanan publik nasional
b. Seluruh Informasi tentang pelayanan dapat diakses secara online (website/media sosial), namun belum terhubung dengan sistem informasi pelayanan publik nasional
c. Seluruh Informasi tentang pelayanan belum online, hanya dapat diakses di tempat layanan (intranet dan non elektronik)
d. Informasi tentang pelayanan sulit diakses</t>
  </si>
  <si>
    <t>Seluruh Informasi tentang pelayanan dapat diakses  dengan mudah  melalui berbagai media online (website/media sosial) yang di miliki oleh Fakultas Ilmu Pendidikan dan Psikologi maupun UNNES.</t>
  </si>
  <si>
    <t xml:space="preserve">1. 
layanan aduan FIPP
2. 
layanan aduan UNNES
3. 
pengaduan di IG FIPP
4. 
Web Sarana Pengaduan Pelanggaran_Whistle Blowing
</t>
  </si>
  <si>
    <t xml:space="preserve">1. 
https://inspirasidikti.kemdiktisaintek.go.id/unitku/zona-integritas/2026-2235/dokumen/layanan aduan FIPP?file=2235-universitas-negeri-semarang/171-fakultas-ilmu-pendidikan/1770951065.pdf
2. 
https://inspirasidikti.kemdiktisaintek.go.id/unitku/zona-integritas/2026-2235/dokumen/layanan aduan UNNES?file=2235-universitas-negeri-semarang/171-fakultas-ilmu-pendidikan/1770951083.pdf
3. 
https://inspirasidikti.kemdiktisaintek.go.id/unitku/zona-integritas/2026-2235/dokumen/pengaduan di IG FIPP?file=2235-universitas-negeri-semarang/171-fakultas-ilmu-pendidikan/1770951098.pdf
4. 
https://inspirasidikti.kemdiktisaintek.go.id/unitku/zona-integritas/2026-2235/dokumen/Web Sarana Pengaduan Pelanggaran_Whistle Blowing?file=2235-universitas-negeri-semarang/171-fakultas-ilmu-pendidikan/1770951177.pdf
</t>
  </si>
  <si>
    <t>Telah terdapat sistem pemberian penghargaan dan sanksi bagi petugas pemberi pelayanan</t>
  </si>
  <si>
    <t>a. Telah terdapat kebijakan pemberian penghargaan dan sanksi yang minimal memenuhi unsur penilaian: disiplin, kinerja, dan hasil penilaian pengguna layanan, dan telah diterapkan secara rutin/berkelanjutan
b. Telah terdapat kebijakan pemberian penghargaan dan sanksi yang minimal memenuhi unsur penilaian: disiplin, kinerja, dan hasil penilaian pengguna layanan, namun belum diterapkan secara rutin/berkelanjutan
c. Telah terdapat kebijakan pemberian penghargaan dan sanksi, namun belum memenuhi unsur penilaian minimal : disiplin, kinerja, dan hasil penilaian pengguna layanan
d. Belum terdapat kebijakan pemberian penghargaan dan sanksi</t>
  </si>
  <si>
    <t>Fakultas Ilmu Pendidikan dan Psikologi telah memiliki kebijakan pemberian penghargaan dan sanksi yang minimal memenuhi unsur penilaian: disiplin, kinerja, dan hasil penilaian pengguna layanan yang diturunkan dari tingkat universitas</t>
  </si>
  <si>
    <t xml:space="preserve">1. 
Publikasi pemberian penghargaan Dosen dan Tendik Berprestasi tahun 2025 (Refleksi Akhir Tahun)
2. 
Dokumen Punishment (Teguran) Ketidakdisiplinan pegawai dalam Kegiatan
3. 
Penghargaan Prodi Terbaik dalam Pencapaian Kinerja 2023_compressed
4. 
Penghargaan Tendik Berprestasi FIPP
5. 
Peraturan Rektor tentang Pemberian Reward dan Punishment (1)
6. 
SOP PENGHARGAAN
7. 
Tendik Berprestasi FIP JIP
</t>
  </si>
  <si>
    <t xml:space="preserve">1. 
https://inspirasidikti.kemdiktisaintek.go.id/unitku/zona-integritas/2026-2235/dokumen/Publikasi pemberian penghargaan Dosen dan Tendik Berprestasi tahun 2025 (Refleksi Akhir Tahun)?file=2235-universitas-negeri-semarang/171-fakultas-ilmu-pendidikan/1771391479.pdf
2. 
https://inspirasidikti.kemdiktisaintek.go.id/unitku/zona-integritas/2026-2235/dokumen/Dokumen Punishment (Teguran) Ketidakdisiplinan pegawai dalam Kegiatan?file=2235-universitas-negeri-semarang/171-fakultas-ilmu-pendidikan/1770951448.pdf
3. 
https://inspirasidikti.kemdiktisaintek.go.id/unitku/zona-integritas/2026-2235/dokumen/Penghargaan Prodi Terbaik dalam Pencapaian Kinerja 2023_compressed?file=2235-universitas-negeri-semarang/171-fakultas-ilmu-pendidikan/1770951458.pdf
4. 
https://inspirasidikti.kemdiktisaintek.go.id/unitku/zona-integritas/2026-2235/dokumen/Penghargaan Tendik Berprestasi FIPP?file=2235-universitas-negeri-semarang/171-fakultas-ilmu-pendidikan/1770951466.pdf
5. 
https://inspirasidikti.kemdiktisaintek.go.id/unitku/zona-integritas/2026-2235/dokumen/Peraturan Rektor tentang Pemberian Reward dan Punishment (1)?file=2235-universitas-negeri-semarang/171-fakultas-ilmu-pendidikan/1770951479.pdf
6. 
https://inspirasidikti.kemdiktisaintek.go.id/unitku/zona-integritas/2026-2235/dokumen/SOP PENGHARGAAN?file=2235-universitas-negeri-semarang/171-fakultas-ilmu-pendidikan/1770951493.pdf
7. 
https://inspirasidikti.kemdiktisaintek.go.id/unitku/zona-integritas/2026-2235/dokumen/Tendik Berprestasi FIP JIP?file=2235-universitas-negeri-semarang/171-fakultas-ilmu-pendidikan/1770951507.pdf
</t>
  </si>
  <si>
    <t>sudah terdapat sistem reward and punishment</t>
  </si>
  <si>
    <t>Telah terdapat sistem pemberian kompensasi kepada penerima layanan bila layanan tidak sesuai standar</t>
  </si>
  <si>
    <t>a. Telah terdapat sistem pemberian kompensasi bila layanan tidak sesuai standar bagi penerima layanan di seluruh jenis layanan
b. Telah terdapat sistem pemberian kompensasi bila layanan tidak sesuai standar bagi penerima layanan di sebagian besar jenis layanan 
c. Telah terdapat sistem pemberian kompensasi bila layanan tidak sesuai standar bagi penerima layanan di sebagian kecil jenis layanan 
d. Belum terdapat sistem pemberian kompensasi bila layanan tidak sesuai standar</t>
  </si>
  <si>
    <t xml:space="preserve">1. 
Peraturan Rektor tentang Pemberian Reward dan Punishment (1) (1)
2. 
Sistem Pengembalian UKT bagi Mahasiswa
3. 
Sistem pengembalian UKT dengan sisa SKS
4. 
Srt Batas Pengajuan Complain Insentif Remun-2025 - Semester 2
</t>
  </si>
  <si>
    <t xml:space="preserve">1. 
https://inspirasidikti.kemdiktisaintek.go.id/unitku/zona-integritas/2026-2235/dokumen/Peraturan Rektor tentang Pemberian Reward dan Punishment (1) (1)?file=2235-universitas-negeri-semarang/171-fakultas-ilmu-pendidikan/1770951728.pdf
2. 
https://inspirasidikti.kemdiktisaintek.go.id/unitku/zona-integritas/2026-2235/dokumen/Sistem Pengembalian UKT bagi Mahasiswa?file=2235-universitas-negeri-semarang/171-fakultas-ilmu-pendidikan/1772583547.pdf
3. 
https://inspirasidikti.kemdiktisaintek.go.id/unitku/zona-integritas/2026-2235/dokumen/Sistem pengembalian UKT dengan sisa SKS?file=2235-universitas-negeri-semarang/171-fakultas-ilmu-pendidikan/1772583556.pdf
4. 
https://inspirasidikti.kemdiktisaintek.go.id/unitku/zona-integritas/2026-2235/dokumen/Srt Batas Pengajuan Complain Insentif Remun-2025 - Semester 2?file=2235-universitas-negeri-semarang/171-fakultas-ilmu-pendidikan/1772583611.pdf
</t>
  </si>
  <si>
    <t>D</t>
  </si>
  <si>
    <t>Belum terdapat sistem pemberian kompensasi atas layanan yang tidak sesuai standar</t>
  </si>
  <si>
    <t>Terdapat sarana layanan terpadu/terintegrasi</t>
  </si>
  <si>
    <t>a. Jika seluruh pelayanan sudah dilakukan secara terpadu/terintegrasi
b. Jika sebagian besar pelayanan sudah dilakukan secara terpadu/terintegrasi
c. Jika sebagian kecil pelayanan sudah dilakukan secara terpadu/terintegrasi
d. Jika tidak ada pelayanan yang dilakukan secara terpadu/terintegrasi</t>
  </si>
  <si>
    <t>Fakultas Ilmu Pendidikan dan Psikologi telah memiliki pelayanan sudah dilakukan secara terpadu/terintegrasi yang dapat diakses oleh warga baik di tingkat Universitas maupun Fakultas</t>
  </si>
  <si>
    <t xml:space="preserve">1. 
apps
2. 
Instrumen Survey Layanan (1)
3. 
Layanan yang dapat di akses
4. 
Publikasi hasil Survey Kepuasan Masyarakat
5. 
SOP LAB TERPADU_2025 Revisi
6. 
Web Sarana Pengaduan Pelanggaran_Whistle Blowing
7. 
PANDUAN PELAYANAN PUBLIK TERPADU(1)
</t>
  </si>
  <si>
    <t xml:space="preserve">1. 
https://inspirasidikti.kemdiktisaintek.go.id/unitku/zona-integritas/2026-2235/dokumen/apps?file=2235-universitas-negeri-semarang/171-fakultas-ilmu-pendidikan/1770953077.pdf
2. 
https://inspirasidikti.kemdiktisaintek.go.id/unitku/zona-integritas/2026-2235/dokumen/Instrumen Survey Layanan (1)?file=2235-universitas-negeri-semarang/171-fakultas-ilmu-pendidikan/1770953087.pdf
3. 
https://inspirasidikti.kemdiktisaintek.go.id/unitku/zona-integritas/2026-2235/dokumen/Layanan yang dapat di akses?file=2235-universitas-negeri-semarang/171-fakultas-ilmu-pendidikan/1770953104.pdf
4. 
https://inspirasidikti.kemdiktisaintek.go.id/unitku/zona-integritas/2026-2235/dokumen/Publikasi hasil Survey Kepuasan Masyarakat?file=2235-universitas-negeri-semarang/171-fakultas-ilmu-pendidikan/1770953111.pdf
5. 
https://inspirasidikti.kemdiktisaintek.go.id/unitku/zona-integritas/2026-2235/dokumen/SOP LAB TERPADU_2025 Revisi?file=2235-universitas-negeri-semarang/171-fakultas-ilmu-pendidikan/1770953136.pdf
6. 
https://inspirasidikti.kemdiktisaintek.go.id/unitku/zona-integritas/2026-2235/dokumen/Web Sarana Pengaduan Pelanggaran_Whistle Blowing?file=2235-universitas-negeri-semarang/171-fakultas-ilmu-pendidikan/1770953171.pdf
7. 
https://inspirasidikti.kemdiktisaintek.go.id/unitku/zona-integritas/2026-2235/dokumen/PANDUAN PELAYANAN PUBLIK TERPADU(1)?file=2235-universitas-negeri-semarang/171-fakultas-ilmu-pendidikan/1772517857.pdf
</t>
  </si>
  <si>
    <t>Layanan terintegrasi ada, perlu dibuatkan panduannya</t>
  </si>
  <si>
    <t>Terdapat inovasi pelayanan</t>
  </si>
  <si>
    <t>a. Jika unit kerja telah memiliki inovasi pelayanan yang  berbeda dengan unit kerja lain dan mendekatkan pelayanan dengan masyarakat serta telah direplikasi
b. Jika unit kerja telah memiliki inovasi pelayanan yang  berbeda dengan unit kerja lain dan mendekatkan pelayanan dengan masyarakat
c. Jika unit kerja memiliki inovasi yang merupakan replikasi dan pengembangan dari inovasi yang sudah ada 
d. Jika unit kerja telah memiliki inovasi akan tetapi merupakan pelaksanaan inovasi dari instansi pemerintah 
e. Jika  unit kerja belum memiliki inovasi pelayanan</t>
  </si>
  <si>
    <t>Fakultas Ilmu Pendidikan dan Psikologi  telah memiliki inovasi pelayanan yang mendekatkan pelayanan dengan masyarakat dan dimanfaatkan oleh masyarakat baik warga Fakultas, Universitas dan mitra  pengguna layanan</t>
  </si>
  <si>
    <t xml:space="preserve">1. 
BERITA ACARA STUDI BANDING ZI KE FEB
2. 
Dokumentasi Inovasi Survey Kepuasan Layanan FIPP 2025
3. 
Dokumentasi Studi Banding Peningkatan Layanan
4. 
laporan konsultasi karir alumni FIPP
5. 
Notulensi Kunjungan Tim ZI FIPP ke FEB
6. 
Profil PCC UNNES 2024 (1)
7. 
Profil PCC UNNES 2024
8. 
undangan studi banding ZI ke FEB
9. 
SOP layanan inovasi_  Peer Counseling Services As a Peer Counselor
</t>
  </si>
  <si>
    <t xml:space="preserve">1. 
https://inspirasidikti.kemdiktisaintek.go.id/unitku/zona-integritas/2026-2235/dokumen/BERITA ACARA STUDI BANDING ZI KE FEB?file=2235-universitas-negeri-semarang/171-fakultas-ilmu-pendidikan/1770953220.pdf
2. 
https://inspirasidikti.kemdiktisaintek.go.id/unitku/zona-integritas/2026-2235/dokumen/Dokumentasi Inovasi Survey Kepuasan Layanan FIPP 2025?file=2235-universitas-negeri-semarang/171-fakultas-ilmu-pendidikan/1770953231.pdf
3. 
https://inspirasidikti.kemdiktisaintek.go.id/unitku/zona-integritas/2026-2235/dokumen/Dokumentasi Studi Banding Peningkatan Layanan?file=2235-universitas-negeri-semarang/171-fakultas-ilmu-pendidikan/1770953241.pdf
4. 
https://inspirasidikti.kemdiktisaintek.go.id/unitku/zona-integritas/2026-2235/dokumen/laporan konsultasi karir alumni FIPP?file=2235-universitas-negeri-semarang/171-fakultas-ilmu-pendidikan/1770953251.pdf
5. 
https://inspirasidikti.kemdiktisaintek.go.id/unitku/zona-integritas/2026-2235/dokumen/Notulensi Kunjungan Tim ZI FIPP ke FEB?file=2235-universitas-negeri-semarang/171-fakultas-ilmu-pendidikan/1770953258.pdf
6. 
https://inspirasidikti.kemdiktisaintek.go.id/unitku/zona-integritas/2026-2235/dokumen/Profil PCC UNNES 2024 (1)?file=2235-universitas-negeri-semarang/171-fakultas-ilmu-pendidikan/1770953269.pdf
7. 
https://inspirasidikti.kemdiktisaintek.go.id/unitku/zona-integritas/2026-2235/dokumen/Profil PCC UNNES 2024?file=2235-universitas-negeri-semarang/171-fakultas-ilmu-pendidikan/1770953287.pdf
8. 
https://inspirasidikti.kemdiktisaintek.go.id/unitku/zona-integritas/2026-2235/dokumen/undangan studi banding ZI ke FEB?file=2235-universitas-negeri-semarang/171-fakultas-ilmu-pendidikan/1770953304.pdf
9. 
https://inspirasidikti.kemdiktisaintek.go.id/unitku/zona-integritas/2026-2235/dokumen/SOP layanan inovasi_  Peer Counseling Services As a Peer Counselor?file=2235-universitas-negeri-semarang/171-fakultas-ilmu-pendidikan/1772429162.pdf
</t>
  </si>
  <si>
    <t>bisa disertakan SOP inovasi pelayanan</t>
  </si>
  <si>
    <t>Pengelolaan Pengaduan</t>
  </si>
  <si>
    <t>Terdapat media pengaduan dan konsultasi pelayanan yang terintegrasi dengan SP4N-Lapor!</t>
  </si>
  <si>
    <t>a. Terdapat media konsultasi dan pengaduan secara offline dan online, tersedia petugas khusus yang menangani, dan terintegrasi dengan SP4N-LAPOR!
b. Terdapat media konsultasi dan pengaduan secara offline dan online, tersedia petugas khusus yang menangani namun belum terintegrasi dengan SP4N-LAPOR!
c. Terdapat media konsultasi dan pengaduan secara offline dan online, namun belum tersedia petugas khusus yang menangani
d. Hanya terdapat media konsultasi dan pengaduan secara offline
e. Tidak terdapat media konsultasi dan pengaduan</t>
  </si>
  <si>
    <t>Fakultas Ilmu Pendidikan dan Psikologi  telah memiliki media konsultasi pengaduan secara offline dan online</t>
  </si>
  <si>
    <t xml:space="preserve">1. 
SK SP4N LAPOR 2026
2. 
Daftar Hadir Pembentukan Tim Pelaporan Pelayanan
3. 
Dokumentasi Rapat Pembentukan TIM Pelaporan Pelayanan Fakultas 26 Desember 2023
4. 
Layanan aduan fipp
5. 
Notulen Rapat Pembentukan TIM Pelaporan Pelayanan Fakultas 26 Desember 2023[1] (1) (2)
6. 
pengaduan IG (1) (1)
7. 
pengelolaan aduan di web
8. 
Undangan Pembentukan Tim Pelaporan Pelayanan
9. 
Web Sarana Pengaduan Pelanggaran_Whistle Blowing
10. 
SK SP4N LAPOR 2026
11. 
SK PENANGGUNG JAWAB PENANGANAN PENGADUAN 2026
</t>
  </si>
  <si>
    <t xml:space="preserve">1. 
https://inspirasidikti.kemdiktisaintek.go.id/unitku/zona-integritas/2026-2235/dokumen/SK SP4N LAPOR 2026?file=2235-universitas-negeri-semarang/171-fakultas-ilmu-pendidikan/1771378399.pdf
2. 
https://inspirasidikti.kemdiktisaintek.go.id/unitku/zona-integritas/2026-2235/dokumen/Daftar Hadir Pembentukan Tim Pelaporan Pelayanan?file=2235-universitas-negeri-semarang/171-fakultas-ilmu-pendidikan/1770953590.pdf
3. 
https://inspirasidikti.kemdiktisaintek.go.id/unitku/zona-integritas/2026-2235/dokumen/Dokumentasi Rapat Pembentukan TIM Pelaporan Pelayanan Fakultas 26 Desember 2023?file=2235-universitas-negeri-semarang/171-fakultas-ilmu-pendidikan/1770953597.pdf
4. 
https://inspirasidikti.kemdiktisaintek.go.id/unitku/zona-integritas/2026-2235/dokumen/Layanan aduan fipp?file=2235-universitas-negeri-semarang/171-fakultas-ilmu-pendidikan/1770953605.pdf
5. 
https://inspirasidikti.kemdiktisaintek.go.id/unitku/zona-integritas/2026-2235/dokumen/Notulen Rapat Pembentukan TIM Pelaporan Pelayanan Fakultas 26 Desember 2023[1] (1) (2)?file=2235-universitas-negeri-semarang/171-fakultas-ilmu-pendidikan/1770953614.pdf
6. 
https://inspirasidikti.kemdiktisaintek.go.id/unitku/zona-integritas/2026-2235/dokumen/pengaduan IG (1) (1)?file=2235-universitas-negeri-semarang/171-fakultas-ilmu-pendidikan/1770953628.pdf
7. 
https://inspirasidikti.kemdiktisaintek.go.id/unitku/zona-integritas/2026-2235/dokumen/pengelolaan aduan di web?file=2235-universitas-negeri-semarang/171-fakultas-ilmu-pendidikan/1770953636.pdf
8. 
https://inspirasidikti.kemdiktisaintek.go.id/unitku/zona-integritas/2026-2235/dokumen/Undangan Pembentukan Tim Pelaporan Pelayanan?file=2235-universitas-negeri-semarang/171-fakultas-ilmu-pendidikan/1770953643.pdf
9. 
https://inspirasidikti.kemdiktisaintek.go.id/unitku/zona-integritas/2026-2235/dokumen/Web Sarana Pengaduan Pelanggaran_Whistle Blowing?file=2235-universitas-negeri-semarang/171-fakultas-ilmu-pendidikan/1770953784.pdf
10. 
https://inspirasidikti.kemdiktisaintek.go.id/unitku/zona-integritas/2026-2235/dokumen/SK SP4N LAPOR 2026?file=2235-universitas-negeri-semarang/171-fakultas-ilmu-pendidikan/1771378407.pdf
11. 
https://inspirasidikti.kemdiktisaintek.go.id/unitku/zona-integritas/2026-2235/dokumen/SK PENANGGUNG JAWAB PENANGANAN PENGADUAN 2026?file=2235-universitas-negeri-semarang/171-fakultas-ilmu-pendidikan/1771378416.pdf
</t>
  </si>
  <si>
    <t>sudah terdapat media pengaduan dan konsultasi pelayanan</t>
  </si>
  <si>
    <t>Terdapat unit yang mengelola pengaduan dan konsultasi pelayanan</t>
  </si>
  <si>
    <t>a. Terdapat unit pengelola khusus untuk konsultasi dan pengaduan, serta surat penugasan pengelola SP4N-LAPOR! di level unit kerja
b. Terdapat SK pengelola SP4N-LAPOR! di level instansi dan/atau surat penugasan pengelola SP4N-LAPOR! di level unit kerja, namun unit pengelola khusus untuk konsultasi dan pengaduan belum ada
c. Belum terdapat unit pengelola khusus untuk konsultasi dan pengaduan, serta belum terdapat SK pengelola SP4N-LAPOR! di level instansi dan/atau surat penugasan pengelola SP4N-LAPOR! di level unit kerja</t>
  </si>
  <si>
    <t>Fakultas Ilmu Pendidikan dan Psikologi  telah memiliki SK pengelola SP4N -LAPOR dan memiliki pengelola untuk  pengaduan dan konsultasi pelayanan</t>
  </si>
  <si>
    <t xml:space="preserve">1. 
SK SP4N LAPOR 2026
2. 
Daftar Hadir Pembentukan Tim Pelaporan Pelayanan (1)
3. 
Dokumentasi Rapat Pembentukan TIM Pelaporan Pelayanan Fakultas 26 Desember 2023
4. 
Notulen Rapat Pembentukan TIM Pelaporan Pelayanan Fakultas 26 Desember 2023 Unit
5. 
Penanggungjawab SP4N Lapor TAHUN 2025
6. 
SK Penanggung JAwab Pengelola Aduan (SP4N lapor) Fakultas
7. 
ST Pengelola SP4N lapor TAHUN 2025
8. 
Tim Adhoc Penanganan Pelaporan Pengaduan Fakultas Ilmu Pendidikan
9. 
Undangan Pembentukan Tim Pelaporan Pelayanan (1)
10. 
SK PENANGGUNG JAWAB PENANGANAN PENGADUAN 2026
</t>
  </si>
  <si>
    <t xml:space="preserve">1. 
https://inspirasidikti.kemdiktisaintek.go.id/unitku/zona-integritas/2026-2235/dokumen/SK SP4N LAPOR 2026?file=2235-universitas-negeri-semarang/171-fakultas-ilmu-pendidikan/1771378462.pdf
2. 
https://inspirasidikti.kemdiktisaintek.go.id/unitku/zona-integritas/2026-2235/dokumen/Daftar Hadir Pembentukan Tim Pelaporan Pelayanan (1)?file=2235-universitas-negeri-semarang/171-fakultas-ilmu-pendidikan/1770954386.pdf
3. 
https://inspirasidikti.kemdiktisaintek.go.id/unitku/zona-integritas/2026-2235/dokumen/Dokumentasi Rapat Pembentukan TIM Pelaporan Pelayanan Fakultas 26 Desember 2023?file=2235-universitas-negeri-semarang/171-fakultas-ilmu-pendidikan/1770954416.pdf
4. 
https://inspirasidikti.kemdiktisaintek.go.id/unitku/zona-integritas/2026-2235/dokumen/Notulen Rapat Pembentukan TIM Pelaporan Pelayanan Fakultas 26 Desember 2023 Unit?file=2235-universitas-negeri-semarang/171-fakultas-ilmu-pendidikan/1770954424.pdf
5. 
https://inspirasidikti.kemdiktisaintek.go.id/unitku/zona-integritas/2026-2235/dokumen/Penanggungjawab SP4N Lapor TAHUN 2025?file=2235-universitas-negeri-semarang/171-fakultas-ilmu-pendidikan/1770954432.pdf
6. 
https://inspirasidikti.kemdiktisaintek.go.id/unitku/zona-integritas/2026-2235/dokumen/SK Penanggung JAwab Pengelola Aduan (SP4N lapor) Fakultas?file=2235-universitas-negeri-semarang/171-fakultas-ilmu-pendidikan/1770954445.pdf
7. 
https://inspirasidikti.kemdiktisaintek.go.id/unitku/zona-integritas/2026-2235/dokumen/ST Pengelola SP4N lapor TAHUN 2025?file=2235-universitas-negeri-semarang/171-fakultas-ilmu-pendidikan/1770954455.pdf
8. 
https://inspirasidikti.kemdiktisaintek.go.id/unitku/zona-integritas/2026-2235/dokumen/Tim Adhoc Penanganan Pelaporan Pengaduan Fakultas Ilmu Pendidikan?file=2235-universitas-negeri-semarang/171-fakultas-ilmu-pendidikan/1770954486.pdf
9. 
https://inspirasidikti.kemdiktisaintek.go.id/unitku/zona-integritas/2026-2235/dokumen/Undangan Pembentukan Tim Pelaporan Pelayanan (1)?file=2235-universitas-negeri-semarang/171-fakultas-ilmu-pendidikan/1770954494.pdf
10. 
https://inspirasidikti.kemdiktisaintek.go.id/unitku/zona-integritas/2026-2235/dokumen/SK PENANGGUNG JAWAB PENANGANAN PENGADUAN 2026?file=2235-universitas-negeri-semarang/171-fakultas-ilmu-pendidikan/1771378469.pdf
</t>
  </si>
  <si>
    <t>sudah ada unit pengelola pengaduan dan konsultasi pelayanan</t>
  </si>
  <si>
    <t>Telah dilakukan evaluasi atas penanganan keluhan/masukan dan konsultasi</t>
  </si>
  <si>
    <t>a. Evaluasi atas penanganan keluhan/masukan dan konsultasi dilakukan secara berkala
b. Evaluasi  atas penanganan keluhan/masukan dan konsultasi dilakukan  tidak berkala
c. Belum dilakukan evaluasi penanganan keluhan/masukan dan konsultasi</t>
  </si>
  <si>
    <t>Fakultas Ilmu Pendidikan dan Psikologi  telah melalukan evaluasi dalam penanganan keluhan baik secara langsung maupun dalam bentuk pengaduan melalui website dan media sosial</t>
  </si>
  <si>
    <t xml:space="preserve">1. 
Berita Laporan Pengaduan dan Evaluasi (2024)
2. 
LAPORAN DAN EVALUASI PENGADUAN PELAYANAN 2025 (1) (2)
3. 
Penanganan Evaluasi pengaduan langsung (2024)
4. 
Penanganan Evaluasi pengaduan langsung (2025)
</t>
  </si>
  <si>
    <t xml:space="preserve">1. 
https://inspirasidikti.kemdiktisaintek.go.id/unitku/zona-integritas/2026-2235/dokumen/Berita Laporan Pengaduan dan Evaluasi (2024)?file=2235-universitas-negeri-semarang/171-fakultas-ilmu-pendidikan/1770955144.pdf
2. 
https://inspirasidikti.kemdiktisaintek.go.id/unitku/zona-integritas/2026-2235/dokumen/LAPORAN DAN EVALUASI PENGADUAN PELAYANAN 2025 (1) (2)?file=2235-universitas-negeri-semarang/171-fakultas-ilmu-pendidikan/1770955170.pdf
3. 
https://inspirasidikti.kemdiktisaintek.go.id/unitku/zona-integritas/2026-2235/dokumen/Penanganan Evaluasi pengaduan langsung (2024)?file=2235-universitas-negeri-semarang/171-fakultas-ilmu-pendidikan/1770955181.pdf
4. 
https://inspirasidikti.kemdiktisaintek.go.id/unitku/zona-integritas/2026-2235/dokumen/Penanganan Evaluasi pengaduan langsung (2025)?file=2235-universitas-negeri-semarang/171-fakultas-ilmu-pendidikan/1770955190.pdf
</t>
  </si>
  <si>
    <t>sudah dilakukan evaluasi</t>
  </si>
  <si>
    <t>Penilaian Kepuasan terhadap Pelayanan</t>
  </si>
  <si>
    <t>Telah dilakukan survey kepuasan masyarakat terhadap pelayanan</t>
  </si>
  <si>
    <t>a. Survei kepuasan masyarakat terhadap pelayanan dilakukan minimal 4 kali dalam setahun
b. Survei kepuasan masyarakat terhadap pelayanan dilakukan minimal 3 kali dalam setahun
c. Survei kepuasan masyarakat terhadap pelayanan dilakukan minimal 2 kali dalam setahun
d. Survei kepuasan masyarakat terhadap pelayanan dilakukan minimal 1 kali dalam setahun
e. Belum dilakukan survei kepuasan masyarakat terhadap pelayanan</t>
  </si>
  <si>
    <t>Fakultas Ilmu Pendidikan dan Psikologi telah melaksanakan survei kepuasan masyarakat terhadap pelayanan dilakukan minimal 4 kali dalam setahun. Survey diakses melalui Website Official FIPP https://unnes.ac.id/fipp/id/id-kepuasan-layanan/ . Survey layanan kepuasan sebagai bentuk komitmen dan tanggung jawab terlaksananya Pelayanan Prima Fakultas. Sasaran survey yakni Dosen, Tendik, Mahasiswa, Alumni, Pengguna Alumni, dan Mitra</t>
  </si>
  <si>
    <t xml:space="preserve">1. 
Dokumentasi Inovasi Survey Kepuasan Layanan FIPP 2025
2. 
Instrumen Survey Kepuasan Layanan Triwulan I (Maret)
3. 
Instrumen Survey Kepuasan Layanan Triwulan II (Juni)
4. 
Instrumen Survey Kepuasan Layanan Triwulan IV (Desember)
5. 
Hasil Survey Persepsi Kualitas Pelayanan telah di Publikasi
6. 
Buku-RTM-Tahun-2025-25-Nov-2025_251125_121317
</t>
  </si>
  <si>
    <t xml:space="preserve">1. 
https://inspirasidikti.kemdiktisaintek.go.id/unitku/zona-integritas/2026-2235/dokumen/Dokumentasi Inovasi Survey Kepuasan Layanan FIPP 2025?file=2235-universitas-negeri-semarang/171-fakultas-ilmu-pendidikan/1770955306.pdf
2. 
https://inspirasidikti.kemdiktisaintek.go.id/unitku/zona-integritas/2026-2235/dokumen/Instrumen Survey Kepuasan Layanan Triwulan I (Maret)?file=2235-universitas-negeri-semarang/171-fakultas-ilmu-pendidikan/1770955314.pdf
3. 
https://inspirasidikti.kemdiktisaintek.go.id/unitku/zona-integritas/2026-2235/dokumen/Instrumen Survey Kepuasan Layanan Triwulan II (Juni)?file=2235-universitas-negeri-semarang/171-fakultas-ilmu-pendidikan/1770955357.pdf
4. 
https://inspirasidikti.kemdiktisaintek.go.id/unitku/zona-integritas/2026-2235/dokumen/Instrumen Survey Kepuasan Layanan Triwulan IV (Desember)?file=2235-universitas-negeri-semarang/171-fakultas-ilmu-pendidikan/1770955370.pdf
5. 
https://inspirasidikti.kemdiktisaintek.go.id/unitku/zona-integritas/2026-2235/dokumen/Hasil Survey Persepsi Kualitas Pelayanan telah di Publikasi?file=2235-universitas-negeri-semarang/171-fakultas-ilmu-pendidikan/1772419429.pdf
6. 
https://inspirasidikti.kemdiktisaintek.go.id/unitku/zona-integritas/2026-2235/dokumen/Buku-RTM-Tahun-2025-25-Nov-2025_251125_121317?file=2235-universitas-negeri-semarang/171-fakultas-ilmu-pendidikan/1772420753.pdf
</t>
  </si>
  <si>
    <t>dokumen hasil survey yang telah dilakukan secara berkala bisa disertakan</t>
  </si>
  <si>
    <t>Hasil survei kepuasan masyarakat dapat diakses secara terbuka</t>
  </si>
  <si>
    <t>a. Hasil survei kepuasan masyarakat dapat diakses secara  online (website, media sosial, dll) dan offline
b. Hasil survei kepuasan masyarakat hanya dapat diakses secara offline di tempat layanan
c. Hasil survei kepuasan masyarakat tidak dipublikasi</t>
  </si>
  <si>
    <t>Fakultas Ilmu Pendidikan dan Psikologi telah memiliki hasil survei kepuasan masyarakat yang dapat diakses secara online (website, https://unnes.ac.id/kpm/rapat-tinjauan-manajemen-rtm/ ) dan  offline</t>
  </si>
  <si>
    <t xml:space="preserve">1. 
Publikasi Hasil Survey Penilaian Pemahaman dan Implementasi ZI di Medsos
2. 
Publikasi Hasil Survey Persepsi Anti Korupsi di Medsos
3. 
Publikasi Hasil Survey Persepsi Kualitas Pelayanan di Medsos (1)
4. 
Publikasi Hasil Survey Persepsi Kualitas Pelayanan di Medsos
5. 
TAMPILAN HASIL SURVEY YG BISA DIAKSES DARI MEDSOS FIPP
6. 
Buku-RTM-Tahun-2025-25-Nov-2025_251125_121317-1
</t>
  </si>
  <si>
    <t xml:space="preserve">1. 
https://inspirasidikti.kemdiktisaintek.go.id/unitku/zona-integritas/2026-2235/dokumen/Publikasi Hasil Survey Penilaian Pemahaman dan Implementasi ZI di Medsos?file=2235-universitas-negeri-semarang/171-fakultas-ilmu-pendidikan/1770955419.pdf
2. 
https://inspirasidikti.kemdiktisaintek.go.id/unitku/zona-integritas/2026-2235/dokumen/Publikasi Hasil Survey Persepsi Anti Korupsi di Medsos?file=2235-universitas-negeri-semarang/171-fakultas-ilmu-pendidikan/1770955429.pdf
3. 
https://inspirasidikti.kemdiktisaintek.go.id/unitku/zona-integritas/2026-2235/dokumen/Publikasi Hasil Survey Persepsi Kualitas Pelayanan di Medsos (1)?file=2235-universitas-negeri-semarang/171-fakultas-ilmu-pendidikan/1770955436.pdf
4. 
https://inspirasidikti.kemdiktisaintek.go.id/unitku/zona-integritas/2026-2235/dokumen/Publikasi Hasil Survey Persepsi Kualitas Pelayanan di Medsos?file=2235-universitas-negeri-semarang/171-fakultas-ilmu-pendidikan/1770955443.pdf
5. 
https://inspirasidikti.kemdiktisaintek.go.id/unitku/zona-integritas/2026-2235/dokumen/TAMPILAN HASIL SURVEY YG BISA DIAKSES DARI MEDSOS FIPP?file=2235-universitas-negeri-semarang/171-fakultas-ilmu-pendidikan/1770955451.pdf
6. 
https://inspirasidikti.kemdiktisaintek.go.id/unitku/zona-integritas/2026-2235/dokumen/Buku-RTM-Tahun-2025-25-Nov-2025_251125_121317-1?file=2235-universitas-negeri-semarang/171-fakultas-ilmu-pendidikan/1771385375.pdf
</t>
  </si>
  <si>
    <t>Hasil survey kepuasaan dapat diakses</t>
  </si>
  <si>
    <t>Dilakukan tindak lanjut atas hasil survei kepuasan masyarakat</t>
  </si>
  <si>
    <t>a. Jika dilakukan tindak lanjut atas seluruh hasil survei kepuasan masyarakat
b. Jika dilakukan tindak lanjut atas sebagian besar hasil survei kepuasan masyarakat
c. Jika dilakukan tindak lanjut atas sebagian kecil hasil survei kepuasan masyarakat
d. Jika belum dilakukan tindak lanjut atas hasil survei kepuasan masyarakat</t>
  </si>
  <si>
    <t>Fakultas Ilmu Pendidikan dan Psikologi  telah melakukan  tindak lanjut atas seluruh hasil survei kepuasan masyarakat. Peningkatan layanan sebagai tindak lanjut survey kepuasan tersebut diinformasikan di media sosial official Fakultas, WAG Dosen dan Tendik Fakultas serta WAG Dosen Tendik masing-masing Prodi.</t>
  </si>
  <si>
    <t xml:space="preserve">1. 
LAPORAN TINDAK LANJUT LAYANAN DARI SETIAP UNIT FIPP
2. 
Peresmian Aula PGSD
3. 
Peraturan Dekan Tentang Benturan Kepentingan
4. 
Talkshow Alumni
5. 
Informasi Pendaftaran Mahasiswa Baru
6. 
Laporan Dana Sosial Oktober - Desember 2024
7. 
Pemberitahuan Pengajuan Jabatan Akademik
8. 
Pengisian SKP 2025
9. 
Periode Usulan Kenaikan Jabatan Dosen AA dan Lektor
10. 
Surat Undangan_Undangan Sosialisasi Tugas Akhir _2025-02-11 10_06_38
11. 
DOKUMENTASI PERBAIKAN LAYANAN
12. 
Laporan Perbaikan Layanan 2025
</t>
  </si>
  <si>
    <t xml:space="preserve">1. 
https://inspirasidikti.kemdiktisaintek.go.id/unitku/zona-integritas/2026-2235/dokumen/LAPORAN TINDAK LANJUT LAYANAN DARI SETIAP UNIT FIPP?file=2235-universitas-negeri-semarang/171-fakultas-ilmu-pendidikan/1770881577.pdf
2. 
https://inspirasidikti.kemdiktisaintek.go.id/unitku/zona-integritas/2026-2235/dokumen/Peresmian Aula PGSD?file=2235-universitas-negeri-semarang/171-fakultas-ilmu-pendidikan/1770881604.pdf
3. 
https://inspirasidikti.kemdiktisaintek.go.id/unitku/zona-integritas/2026-2235/dokumen/Peraturan Dekan Tentang Benturan Kepentingan?file=2235-universitas-negeri-semarang/171-fakultas-ilmu-pendidikan/1770881613.pdf
4. 
https://inspirasidikti.kemdiktisaintek.go.id/unitku/zona-integritas/2026-2235/dokumen/Talkshow Alumni?file=2235-universitas-negeri-semarang/171-fakultas-ilmu-pendidikan/1770881622.pdf
5. 
https://inspirasidikti.kemdiktisaintek.go.id/unitku/zona-integritas/2026-2235/dokumen/Informasi Pendaftaran Mahasiswa Baru?file=2235-universitas-negeri-semarang/171-fakultas-ilmu-pendidikan/1770881631.pdf
6. 
https://inspirasidikti.kemdiktisaintek.go.id/unitku/zona-integritas/2026-2235/dokumen/Laporan Dana Sosial Oktober - Desember 2024?file=2235-universitas-negeri-semarang/171-fakultas-ilmu-pendidikan/1770881642.pdf
7. 
https://inspirasidikti.kemdiktisaintek.go.id/unitku/zona-integritas/2026-2235/dokumen/Pemberitahuan Pengajuan Jabatan Akademik?file=2235-universitas-negeri-semarang/171-fakultas-ilmu-pendidikan/1770881657.pdf
8. 
https://inspirasidikti.kemdiktisaintek.go.id/unitku/zona-integritas/2026-2235/dokumen/Pengisian SKP 2025?file=2235-universitas-negeri-semarang/171-fakultas-ilmu-pendidikan/1770881668.pdf
9. 
https://inspirasidikti.kemdiktisaintek.go.id/unitku/zona-integritas/2026-2235/dokumen/Periode Usulan Kenaikan Jabatan Dosen AA dan Lektor?file=2235-universitas-negeri-semarang/171-fakultas-ilmu-pendidikan/1770881683.pdf
10. 
https://inspirasidikti.kemdiktisaintek.go.id/unitku/zona-integritas/2026-2235/dokumen/Surat Undangan_Undangan Sosialisasi Tugas Akhir _2025-02-11 10_06_38?file=2235-universitas-negeri-semarang/171-fakultas-ilmu-pendidikan/1770881689.pdf
11. 
https://inspirasidikti.kemdiktisaintek.go.id/unitku/zona-integritas/2026-2235/dokumen/DOKUMENTASI PERBAIKAN LAYANAN?file=2235-universitas-negeri-semarang/171-fakultas-ilmu-pendidikan/1770881584.pdf
12. 
https://inspirasidikti.kemdiktisaintek.go.id/unitku/zona-integritas/2026-2235/dokumen/Laporan Perbaikan Layanan 2025?file=2235-universitas-negeri-semarang/171-fakultas-ilmu-pendidikan/1770881593.pdf
</t>
  </si>
  <si>
    <t>dilakukan tindak lanjut atas hasil survey kepuasan</t>
  </si>
  <si>
    <t>Pemanfaatan Teknologi Informasi</t>
  </si>
  <si>
    <t>Telah menerapkan teknologi informasi dalam memberikan pelayanan</t>
  </si>
  <si>
    <t>a. Terdapat pelayanan yang menggunakan teknologi informasi pada seluruh proses pemberian layanan
b. Terdapat pelayanan yang menggunakan teknologi informasi pada sebagian besar proses pemberian layanan
c. Terdapat pelayanan yang menggunakan teknologi informasi pada sebagian kecil proses pemberian layanan
d. Terdapat pelayanan yang belum menggunakan teknologi informasi pada proses pemberian pelayanan</t>
  </si>
  <si>
    <t>Fakultas Ilmu Pendidikan dan Psikologi  telah memiliki layanan dengan menggunakan teknologi informasi dalam proses pelayanan</t>
  </si>
  <si>
    <t xml:space="preserve">1. 
apps (1)
2. 
IT UNNES
</t>
  </si>
  <si>
    <t xml:space="preserve">1. 
https://inspirasidikti.kemdiktisaintek.go.id/unitku/zona-integritas/2026-2235/dokumen/apps (1)?file=2235-universitas-negeri-semarang/171-fakultas-ilmu-pendidikan/1770881331.pdf
2. 
https://inspirasidikti.kemdiktisaintek.go.id/unitku/zona-integritas/2026-2235/dokumen/IT UNNES?file=2235-universitas-negeri-semarang/171-fakultas-ilmu-pendidikan/1770881337.pdf
</t>
  </si>
  <si>
    <t>telah menerapkan</t>
  </si>
  <si>
    <t xml:space="preserve">c. </t>
  </si>
  <si>
    <t>Telah membangun database pelayanan yang terintegrasi</t>
  </si>
  <si>
    <t>Ya,jika tela membangun database pelayanan yang terintegrasi</t>
  </si>
  <si>
    <t>Fakultas Ilmu Pendidikan dan Psikologi  telah membangun data based layanan yang terintegrasi dari univeristas. Selain itu FIPP telah membangun layanan Laboratorium terintegrasi melalui pelayanan peminjaman ruang dan alat yang dapat diakses oleh seluruh warga FIPP.</t>
  </si>
  <si>
    <t xml:space="preserve">1. 
LINK LAYANAN INTEGRASI
2. 
Integrasi Layanan Laboratorium FIPP (Peminjaman Ruang &amp; Alat) untuk Mahasiswa
</t>
  </si>
  <si>
    <t xml:space="preserve">1. 
https://inspirasidikti.kemdiktisaintek.go.id/unitku/zona-integritas/2026-2235/dokumen/LINK LAYANAN INTEGRASI?file=2235-universitas-negeri-semarang/171-fakultas-ilmu-pendidikan/1770881312.pdf
2. 
https://inspirasidikti.kemdiktisaintek.go.id/unitku/zona-integritas/2026-2235/dokumen/Integrasi Layanan Laboratorium FIPP (Peminjaman Ruang &amp; Alat) untuk Mahasiswa?file=2235-universitas-negeri-semarang/171-fakultas-ilmu-pendidikan/1771391886.pdf
</t>
  </si>
  <si>
    <t>dokumen database terintegrasi perlu ditampilkan</t>
  </si>
  <si>
    <t>Telah dilakukan perbaikan secara terus menerus</t>
  </si>
  <si>
    <t xml:space="preserve">a. Perbaikan dilakukan secara terus-menerus
b. Perbaikan dilakukan tidak secara terus menerus
c. Belum dilakukan perbaikan </t>
  </si>
  <si>
    <t>Fakultas Ilmu Pendidikan dan Psikologi  telah melalukan perbaikan secara berkala dan insidental berdasarkan masukan dan evaluasi terhadap layanan.</t>
  </si>
  <si>
    <t xml:space="preserve">1. 
Pemeliharaan FIPP
2. 
evaluasi fipp
</t>
  </si>
  <si>
    <t xml:space="preserve">1. 
https://inspirasidikti.kemdiktisaintek.go.id/unitku/zona-integritas/2026-2235/dokumen/Pemeliharaan FIPP?file=2235-universitas-negeri-semarang/171-fakultas-ilmu-pendidikan/1771392066.pdf
2. 
https://inspirasidikti.kemdiktisaintek.go.id/unitku/zona-integritas/2026-2235/dokumen/evaluasi fipp?file=2235-universitas-negeri-semarang/171-fakultas-ilmu-pendidikan/1770881288.pdf
</t>
  </si>
  <si>
    <t>ada upaya improvement berkelanjutan</t>
  </si>
  <si>
    <t>II.</t>
  </si>
  <si>
    <t>REFORM</t>
  </si>
  <si>
    <t>Komitmen dalam perubahan</t>
  </si>
  <si>
    <t>PARENT HAVE SUB</t>
  </si>
  <si>
    <t xml:space="preserve">Agen perubahan telah membuat perubahan yang konkret di Instansi (dalam 1 tahun) </t>
  </si>
  <si>
    <t>Misalkan dengan kebijakan 1 Agen 1 Perubahan Persentase diperoleh dari Jumlah Perubahan yang dibuat dibagi dengan Jumlah Agen Perubahan</t>
  </si>
  <si>
    <t>%</t>
  </si>
  <si>
    <t>Sesuai dengan rencana perubahan, terdapat empat komponen untuk mendukung perubahan menuju WBK, yaitu pakta integritas, penandatanganan pakta integritas, penandatanganan komitmen bersama menuju WBK, dan pengangkatan tim kerja ZI/WBK. Empat komponen ini telah terlaksana.</t>
  </si>
  <si>
    <t xml:space="preserve">1. 
Tim Kerja ZI FIPP 2026
2. 
Rekap Inovasi_Perubahan Inovatif untuk mendukung Layanan Bermutu dan Berintegitas
</t>
  </si>
  <si>
    <t xml:space="preserve">1. 
https://inspirasidikti.kemdiktisaintek.go.id/unitku/zona-integritas/2026-2235/dokumen/Tim Kerja ZI FIPP 2026?file=2235-universitas-negeri-semarang/171-fakultas-ilmu-pendidikan/1770953370.pdf
2. 
https://inspirasidikti.kemdiktisaintek.go.id/unitku/zona-integritas/2026-2235/dokumen/Rekap Inovasi_Perubahan Inovatif untuk mendukung Layanan Bermutu dan Berintegitas?file=2235-universitas-negeri-semarang/171-fakultas-ilmu-pendidikan/1770954643.pdf
</t>
  </si>
  <si>
    <t>Lampirkan SK Agen perubahan, Jumlah yang dituliskan tidak sesuai</t>
  </si>
  <si>
    <t>SUB</t>
  </si>
  <si>
    <t>- Jumlah Agen Perubahan</t>
  </si>
  <si>
    <t>Jumlah</t>
  </si>
  <si>
    <t>- Jumlah Perubahan yang dibuat</t>
  </si>
  <si>
    <t>Perubahan yang dibuat Agen Perubahan telah terintegrasi dalam sistem manajemen</t>
  </si>
  <si>
    <t>Untuk mengefisiensikan implementasi budaya kerja dan peran pimpinan sebagai role model, dalam hal ini kepatuhan presensi, telah dilakukan perubahan yaitu; (1) penandatanganan Pakta Integritas untuk seluruh pegawai, yang semula hanya pimpinan; (2) penambahan perangkat presensi yang mengandalkan sensor gerak, sehingga memudahkan pegawai saat presensi; (3) penyediaan komputer layanan; (4) penyediaan komputer monitoring untuk mendokumentasikan tingkat kepuasan terhadap layanan.</t>
  </si>
  <si>
    <t>1. 
Mesin presensi online</t>
  </si>
  <si>
    <t>https://inspirasidikti.kemdiktisaintek.go.id/unitku/zona-integritas/2026-2235/dokumen/Mesin presensi online?file=2235-universitas-negeri-semarang/171-fakultas-ilmu-pendidikan/1770954908.pdf</t>
  </si>
  <si>
    <t>Bisa ditambahkan dokumen bukti perubahan yang dibuat</t>
  </si>
  <si>
    <t>- Jumlah Perubahan yang telah diintegrasikan dalam sistem manajemen</t>
  </si>
  <si>
    <t>Komitmen Pimpinan</t>
  </si>
  <si>
    <t>-</t>
  </si>
  <si>
    <t>Pimpinan memiliki komitmen terhadap pelaksanaan reformasi birokrasi, dengan adanya target capaian reformasi yang jelas di dokumen perencanaan</t>
  </si>
  <si>
    <t>a. Target capaian zona integritas sudah ada di dokumen perencanaan unit kerja dan sebagian besar (diatas 80%) sudah tercapai
b. Target capaian zona integritas sudah ada di dokumen perencanaan unit kerja dan sebagian (diatas 50%) sudah tercapai
c. Target capaian zona integritas sudah ada di dokumen perencanaan unit kerja dan sebagian kecil (dibawah 50%) sudah tercapai
d. Target capaian zona integritassudah ada di dokumen perencanaan unit kerja, namun belum ada yang tercapai (masih dalam tahap pembangunan)
e. Tidak ada target capaian zona integritasdi dokumen perencanaan unit kerja</t>
  </si>
  <si>
    <t>Target capaian zona integritas sudah ada di dokumen perencanaan unit kerja, namun sebagiannya belum tercapai. Di antara yang belum tercapai adalah  integrasi perubahan ke arah perilaku baik belum diwujudkan dalam bentuk SOP.  Adapun yang telah tercapai di antaranya pemberlakuan Pakta Integritas untuk semua dosen dan tendik serta peningkatan efisiensi presensi.</t>
  </si>
  <si>
    <t xml:space="preserve">1. 
2025_Laporan Pembangunan_ZI FIPP
2. 
R-ii (1)
3. 
R-ii (2)
4. 
R-ii (3)
5. 
R-ii (4)
6. 
R-ii (5)
7. 
R-ii (6)
8. 
R-ii (7)
9. 
R-ii (8)
10. 
R-ii
</t>
  </si>
  <si>
    <t xml:space="preserve">1. 
https://inspirasidikti.kemdiktisaintek.go.id/unitku/zona-integritas/2026-2235/dokumen/2025_Laporan Pembangunan_ZI FIPP?file=2235-universitas-negeri-semarang/171-fakultas-ilmu-pendidikan/1770954954.pdf
2. 
https://inspirasidikti.kemdiktisaintek.go.id/unitku/zona-integritas/2026-2235/dokumen/R-ii (1)?file=2235-universitas-negeri-semarang/171-fakultas-ilmu-pendidikan/1770955067.pdf
3. 
https://inspirasidikti.kemdiktisaintek.go.id/unitku/zona-integritas/2026-2235/dokumen/R-ii (2)?file=2235-universitas-negeri-semarang/171-fakultas-ilmu-pendidikan/1770955072.pdf
4. 
https://inspirasidikti.kemdiktisaintek.go.id/unitku/zona-integritas/2026-2235/dokumen/R-ii (3)?file=2235-universitas-negeri-semarang/171-fakultas-ilmu-pendidikan/1770955078.pdf
5. 
https://inspirasidikti.kemdiktisaintek.go.id/unitku/zona-integritas/2026-2235/dokumen/R-ii (4)?file=2235-universitas-negeri-semarang/171-fakultas-ilmu-pendidikan/1770955083.pdf
6. 
https://inspirasidikti.kemdiktisaintek.go.id/unitku/zona-integritas/2026-2235/dokumen/R-ii (5)?file=2235-universitas-negeri-semarang/171-fakultas-ilmu-pendidikan/1770955087.pdf
7. 
https://inspirasidikti.kemdiktisaintek.go.id/unitku/zona-integritas/2026-2235/dokumen/R-ii (6)?file=2235-universitas-negeri-semarang/171-fakultas-ilmu-pendidikan/1770955093.pdf
8. 
https://inspirasidikti.kemdiktisaintek.go.id/unitku/zona-integritas/2026-2235/dokumen/R-ii (7)?file=2235-universitas-negeri-semarang/171-fakultas-ilmu-pendidikan/1770955099.pdf
9. 
https://inspirasidikti.kemdiktisaintek.go.id/unitku/zona-integritas/2026-2235/dokumen/R-ii (8)?file=2235-universitas-negeri-semarang/171-fakultas-ilmu-pendidikan/1770955104.pdf
10. 
https://inspirasidikti.kemdiktisaintek.go.id/unitku/zona-integritas/2026-2235/dokumen/R-ii?file=2235-universitas-negeri-semarang/171-fakultas-ilmu-pendidikan/1770955109.pdf
</t>
  </si>
  <si>
    <t>Lengkapi dengan dikumen pendukung:
1. Undangan rapat monitoring dan Evaluasi
2. Daftar Hadir rapat monitoring dan Evaluasi
3. Notulen rapat monitoring dan evaluasi
4. Dokumentasi Rapat
5. Laporan hasil monitoring dan evaluasi ZI</t>
  </si>
  <si>
    <t>Membangun Budaya Kerja</t>
  </si>
  <si>
    <t>Instansi membangun budaya kerja positif dan menerapkan nilai-nilai organisasi dalam pelaksanaan tugas sehari-hari</t>
  </si>
  <si>
    <t>a. Budaya kerja dan nilai-nilai organisasi telah dinternalisasi ke seluruh anggota organisasi, dan penerapannya dituangkan dalam standar operasional pelaksanaan kegiatan/tugas 
b. Budaya kerja dan nilai-nilai organisasi telah dinternalisasi ke seluruh anggota organisasi, namun belum dituangkan dalam standar operasional pelaksanaan kegiatan/tugas
c. Budaya kerja dan nilai-nilai organisasi telah disusun, namun belum dinternalisasi ke seluruh anggota organisasi
d. Belum menyusun budaya kerja dan nilai-nilai organisasi</t>
  </si>
  <si>
    <t>Budaya kerja dan nilai-nilai organisasi telah diinternalisasi ke seluruh anggota organisasi. Hal ini ditandai misalnya oleh presensi pegawai yang baik, termasuk dalam kegiatan apel pagi untuk pimpinan, fungsionaris program studi, tendik dan dosen muda. Hanya saja belum diberlakukan reward/punishment secara konsisten untuk mendukung hal tersebut karena memang belum dibuat SOP-nya. Kendatipun  punishment dalam bentuk teguran tertulis untuk pegawai yang tidak hadir dilaksanakan, namun reward belum dilaksanakan</t>
  </si>
  <si>
    <t xml:space="preserve">1. 
Foto Apel 2025_1
2. 
Foto apel 2025-2
</t>
  </si>
  <si>
    <t xml:space="preserve">1. 
https://inspirasidikti.kemdiktisaintek.go.id/unitku/zona-integritas/2026-2235/dokumen/Foto Apel 2025_1?file=2235-universitas-negeri-semarang/171-fakultas-ilmu-pendidikan/1770955154.pdf
2. 
https://inspirasidikti.kemdiktisaintek.go.id/unitku/zona-integritas/2026-2235/dokumen/Foto apel 2025-2?file=2235-universitas-negeri-semarang/171-fakultas-ilmu-pendidikan/1770955157.pdf
</t>
  </si>
  <si>
    <t>Tambahkan dokumen kelengkapan penerapan budaya kerja positif yang dituangkan dalam standar operasional pelaksanaan kegiatan/tugas</t>
  </si>
  <si>
    <t>Peta Proses Bisnis Mempengaruhi Penyederhanaan Jabatan</t>
  </si>
  <si>
    <t xml:space="preserve">Telah disusun peta proses bisnis dengan adanya penyederhanaan jabatan 
 </t>
  </si>
  <si>
    <t>a. Peta proses bisnis telah disusun dan mempengaruhi penyederhanaan seluruh jabatan
b. Peta proses bisnis telah disusun dan mempengaruhi penyederhanaan sebagian besar (lebih dari 50%) jabatan
c. Peta proses bisnis telah disusun dan mempengaruhi penyederhanaan sebagian kecil (kurang dari 50%)  jabatan
d. Peta proses bisnis telah disusun dan belum mempengaruhi penyederhanaan jabatan</t>
  </si>
  <si>
    <t>Peta proses bisnis FIPP telah disusun dan mempengaruhi penyederhanaan seluruh jabatan yang ada di FIPP UNNES. Rapat evaluasi road map dan peta proses bisnis FIPP UNNES diadakan pada tanggal 10 Februari 2024, untuk kembali memastikan bahwa peta bisnis yang telah disusun mempengaruhi penyederhaan seluruh jabatan. Termasuk pada rapat itu juga disepakati/dihasilkan peta jabatan dosen FIPP UNNES, serta peta rumpun keilmuan FIPP UNNES, yang digunakan pula untuk memetakan kenaikan pangkat jabatan dosen di FIPP UNNES (dokumen peta jabatan terlampir). Pada tingkat Universitas, laporan hasil evaluasi pelaksanaan proses bisnis secara menyeluruh dilakukan pada rapat tinjauan manajemen (dokumen laporan hasil rapat tinjauan manajemen) untuk memastikan peta bisnis berjalan.</t>
  </si>
  <si>
    <t xml:space="preserve">1. 
1 SK Formasi Jabatan FIPP
2. 
Laporan Rapat Tinjauan Manajemen UNNES 2024
3. 
salinan_20220302_140248_JDIH_Kepmen 55_O_2022 Probis
4. 
UNDANGAN EVALUASI ROAD MAP
5. 
Final Renstra ZI FIPP 16 November 2025_compressed
</t>
  </si>
  <si>
    <t xml:space="preserve">1. 
https://inspirasidikti.kemdiktisaintek.go.id/unitku/zona-integritas/2026-2235/dokumen/1 SK Formasi Jabatan FIPP?file=2235-universitas-negeri-semarang/171-fakultas-ilmu-pendidikan/1771517359.pdf
2. 
https://inspirasidikti.kemdiktisaintek.go.id/unitku/zona-integritas/2026-2235/dokumen/Laporan Rapat Tinjauan Manajemen UNNES 2024?file=2235-universitas-negeri-semarang/171-fakultas-ilmu-pendidikan/1771517363.pdf
3. 
https://inspirasidikti.kemdiktisaintek.go.id/unitku/zona-integritas/2026-2235/dokumen/salinan_20220302_140248_JDIH_Kepmen 55_O_2022 Probis?file=2235-universitas-negeri-semarang/171-fakultas-ilmu-pendidikan/1771517372.pdf
4. 
https://inspirasidikti.kemdiktisaintek.go.id/unitku/zona-integritas/2026-2235/dokumen/UNDANGAN EVALUASI ROAD MAP?file=2235-universitas-negeri-semarang/171-fakultas-ilmu-pendidikan/1771517373.pdf
5. 
https://inspirasidikti.kemdiktisaintek.go.id/unitku/zona-integritas/2026-2235/dokumen/Final Renstra ZI FIPP 16 November 2025_compressed?file=2235-universitas-negeri-semarang/171-fakultas-ilmu-pendidikan/1771518358.pdf
</t>
  </si>
  <si>
    <t>Sudah terdapat Peta proses bisnis telah disusun dan mempengaruhi penyederhanaan seluruh jabatan</t>
  </si>
  <si>
    <t>Sistem Pemerintahan Berbasis Elektronik (SPBE) yang Terintegrasi</t>
  </si>
  <si>
    <t>a</t>
  </si>
  <si>
    <t>Implementasi SPBE telah terintegrasi dan mampu mendorong pelaksanaan pelayanan publik yang lebih cepat dan efisien</t>
  </si>
  <si>
    <t>a. Implementasi SPBE telah terintegrasi dan mampu mendorong pelaksanaan pelayanan publik yang lebih cepat dan efisien 
b. Implementasi SPBE telah mampu mendorong pelaksanaan pelayanan publik yang lebih cepat dan efisien, namun belum terintegrasi (parsial)
c. Implementasi SPBE belum mendorong pelaksanaan pelayanan publik yang lebih cepat dan efisien</t>
  </si>
  <si>
    <t>FIPP UNNES sudah mengimplementasikan SPBE yang terintegrasi mampu mendorong pelaksanaan pelayanan publik yg lebih cepat dan efisien,  hal ini dibuktikan dengan dilakukan laporan hasil pemantauan dan laporan dampak dari pengimplementasian SPBE terhadap pelayanan publik yang diberikan oleh FIPP UNNES.</t>
  </si>
  <si>
    <t xml:space="preserve">1. 
SK SPBE 2026
2. 
Implementasi SPBE Pelayanan Publik_
3. 
Laporan Dampak SPBE Pelayanan Publik
4. 
Laporan Hasil Pemantauan SPBE Pelayanan Publik
5. 
ARSITEKTUR INTEGRASI SPBE PELAYANAN PUBLIK FIPP UNNES
6. 
BUKTI INTEGRASI DATA DAN SINGLE SIGN-ON  SPBE FIPP UNNES  
7. 
ROADMAP SPBE  FIPP UNNES  
8. 
LAPORAN DAMPAK KUANTITATIF SPBE
9. 
LAPORAN EVALUASI BERKALA IMPLEMENTASI SPBE MyUnnes  
10. 
Notulensi Evaluasi Berkala SPBE
</t>
  </si>
  <si>
    <t xml:space="preserve">1. 
https://inspirasidikti.kemdiktisaintek.go.id/unitku/zona-integritas/2026-2235/dokumen/SK SPBE 2026?file=2235-universitas-negeri-semarang/171-fakultas-ilmu-pendidikan/1771572369.pdf
2. 
https://inspirasidikti.kemdiktisaintek.go.id/unitku/zona-integritas/2026-2235/dokumen/Implementasi SPBE Pelayanan Publik_?file=2235-universitas-negeri-semarang/171-fakultas-ilmu-pendidikan/1771517419.pdf
3. 
https://inspirasidikti.kemdiktisaintek.go.id/unitku/zona-integritas/2026-2235/dokumen/Laporan Dampak SPBE Pelayanan Publik?file=2235-universitas-negeri-semarang/171-fakultas-ilmu-pendidikan/1771517419.pdf
4. 
https://inspirasidikti.kemdiktisaintek.go.id/unitku/zona-integritas/2026-2235/dokumen/Laporan Hasil Pemantauan SPBE Pelayanan Publik?file=2235-universitas-negeri-semarang/171-fakultas-ilmu-pendidikan/1771517422.pdf
5. 
https://inspirasidikti.kemdiktisaintek.go.id/unitku/zona-integritas/2026-2235/dokumen/ARSITEKTUR INTEGRASI SPBE PELAYANAN PUBLIK FIPP UNNES?file=2235-universitas-negeri-semarang/171-fakultas-ilmu-pendidikan/1771520095.pdf
6. 
https://inspirasidikti.kemdiktisaintek.go.id/unitku/zona-integritas/2026-2235/dokumen/BUKTI INTEGRASI DATA DAN SINGLE SIGN-ON  SPBE FIPP UNNES  ?file=2235-universitas-negeri-semarang/171-fakultas-ilmu-pendidikan/1771520098.pdf
7. 
https://inspirasidikti.kemdiktisaintek.go.id/unitku/zona-integritas/2026-2235/dokumen/ROADMAP SPBE  FIPP UNNES  ?file=2235-universitas-negeri-semarang/171-fakultas-ilmu-pendidikan/1771520101.pdf
8. 
https://inspirasidikti.kemdiktisaintek.go.id/unitku/zona-integritas/2026-2235/dokumen/LAPORAN DAMPAK KUANTITATIF SPBE?file=2235-universitas-negeri-semarang/171-fakultas-ilmu-pendidikan/1771520104.pdf
9. 
https://inspirasidikti.kemdiktisaintek.go.id/unitku/zona-integritas/2026-2235/dokumen/LAPORAN EVALUASI BERKALA IMPLEMENTASI SPBE MyUnnes  ?file=2235-universitas-negeri-semarang/171-fakultas-ilmu-pendidikan/1771520117.pdf
10. 
https://inspirasidikti.kemdiktisaintek.go.id/unitku/zona-integritas/2026-2235/dokumen/Notulensi Evaluasi Berkala SPBE?file=2235-universitas-negeri-semarang/171-fakultas-ilmu-pendidikan/1771520123.pdf
</t>
  </si>
  <si>
    <t>Unit sudah mengimplementasikan SPBE yang terintegrasi mampu mendorong pelaksanaan pelayanan publik yg lebih cepat dan efisie</t>
  </si>
  <si>
    <t>b</t>
  </si>
  <si>
    <t>Implementasi SPBE telah terintegrasi dan mampu mendorong pelaksanaan pelayanan internal organisasi yang lebih cepat dan efisien</t>
  </si>
  <si>
    <t>a. Implementasi SPBE telah terintegrasi dan mampu mendorong pelaksanaan pelayanan internal unit kerja yang lebih cepat dan efisien 
b. Implementasi SPBE telah mampu mendorong pelaksanaan pelayanan internal unit kerja yang lebih cepat dan efisien, namun belum terintegrasi (parsial)
c. Implementasi SPBE belum mendorong pelaksanaan pelayanan internal unit kerja yang lebih cepat dan efisien</t>
  </si>
  <si>
    <t>FIPP UNNES sudah mengimplementasikan SPBE yang terintegrasi mampu mendorong pelaksanaan pelayanan internal organisasi yang lebih cepat dan efisien, hal ini dibuktikan dengan sudah dilakukan laporan hasil pemantauan dan evaluasi serta laporan dampak dari pengimplementasian SPBE terhadap pelayanan internal organisasi yang cepat dan efisien yang diberikan oleh FIPP UNNES.</t>
  </si>
  <si>
    <t xml:space="preserve">1. 
SK SPBE 2026
2. 
Implementasi SPBE pelayanan internal unit kerja
3. 
Laporan Dampak Implementasi SPBE Terintegrasi FIPP
4. 
Laporan Hasil Pemantauan dan Evaluasi Implementasi SPBE Terintegrasi FIPP
</t>
  </si>
  <si>
    <t xml:space="preserve">1. 
https://inspirasidikti.kemdiktisaintek.go.id/unitku/zona-integritas/2026-2235/dokumen/SK SPBE 2026?file=2235-universitas-negeri-semarang/171-fakultas-ilmu-pendidikan/1771572374.pdf
2. 
https://inspirasidikti.kemdiktisaintek.go.id/unitku/zona-integritas/2026-2235/dokumen/Implementasi SPBE pelayanan internal unit kerja?file=2235-universitas-negeri-semarang/171-fakultas-ilmu-pendidikan/1771517458.pdf
3. 
https://inspirasidikti.kemdiktisaintek.go.id/unitku/zona-integritas/2026-2235/dokumen/Laporan Dampak Implementasi SPBE Terintegrasi FIPP?file=2235-universitas-negeri-semarang/171-fakultas-ilmu-pendidikan/1771517462.pdf
4. 
https://inspirasidikti.kemdiktisaintek.go.id/unitku/zona-integritas/2026-2235/dokumen/Laporan Hasil Pemantauan dan Evaluasi Implementasi SPBE Terintegrasi FIPP?file=2235-universitas-negeri-semarang/171-fakultas-ilmu-pendidikan/1771517465.pdf
</t>
  </si>
  <si>
    <t>Implementasi SPBE  di unit telah terintegrasi dan mampu mendorong pelaksanaan pelayanan internal unit kerja yang lebih cepat dan efisien</t>
  </si>
  <si>
    <t>Transformasi Digital Memberikan Nilai Manfaat</t>
  </si>
  <si>
    <t xml:space="preserve">Transformasi digital pada bidang proses bisnis utama telah mampu memberikan nilai manfaat bagi unit kerja secara optimal </t>
  </si>
  <si>
    <t>a. Kriteria huruf b telah terpenuhi dan penerapan atau penggunaan dari manfaat/dampak dari transformasi digital pada bidang proses bisnis utama bagi unit kerja telah dilakukan validasi dan evaluasi serta ditindaklanjuti secara berkelanjutan
b. Kriteria huruf c telah terpenuhi dan manfaat/dampak dari transformasi digital pada bidang proses bisnis utama telah diterapkan/digunakan oleh unit kerja sesuai dengan sasaran dan target manfaat/dampak
c. Kriteria huruf d telah terpenuhi dan manfaat/dampak dari transformasi digital pada bidang proses bisnis utama telah mampu direalisasikan pada unit kerja sesuai dengan sasaran dan target manfaat/dampak
d. Kriteria huruf e telah terpenuhi dan kapabilitas prakiraan dan pelacakan terhadap sasaran dan target manfaat/dampak dari transformasi digital pada bidang proses bisnis utama
e. Sasaran dan target manfaat/dampak dari transformasi digital pada bidang proses bisnis utama telah direncanakan, didefinisikan, dan ditetapkan</t>
  </si>
  <si>
    <t>Transformasi digital pada bidang proses bisnis utama FIPP telah memberikan manfaat optimal bagi unit kerja. Penerapan dan evaluasi manfaat transformasi digital telah dilakukan secara berkelanjutan, sebagaimana dibuktikan dengan adanya surat undangan evaluasi, notulensi hasil rapat, dokumentasi pembaruan, serta hasil kepuasan layanan utama. Keberadaan dokumen-dokumen ini menunjukkan bahwa transformasi digital telah direncanakan, diterapkan, serta dipantau untuk memastikan dampaknya sesuai dengan target yang ditetapkan.</t>
  </si>
  <si>
    <t xml:space="preserve">1. 
[1] Surat Undangan evaluasi
2. 
[2] Notulensi Hasil Rapat
3. 
[3] DOKUMENTASI HASIL PEMBAHARUAN
4. 
[4] Hasil Kepuasan Layanan Utama
5. 
[5] Daftar Hadir Evaluasi Transformasi Digital
6. 
Laporan Kepuasan Pengguna 2025
</t>
  </si>
  <si>
    <t xml:space="preserve">1. 
https://inspirasidikti.kemdiktisaintek.go.id/unitku/zona-integritas/2026-2235/dokumen/[1] Surat Undangan evaluasi?file=2235-universitas-negeri-semarang/171-fakultas-ilmu-pendidikan/1771517514.pdf
2. 
https://inspirasidikti.kemdiktisaintek.go.id/unitku/zona-integritas/2026-2235/dokumen/[2] Notulensi Hasil Rapat?file=2235-universitas-negeri-semarang/171-fakultas-ilmu-pendidikan/1771517518.pdf
3. 
https://inspirasidikti.kemdiktisaintek.go.id/unitku/zona-integritas/2026-2235/dokumen/[3] DOKUMENTASI HASIL PEMBAHARUAN?file=2235-universitas-negeri-semarang/171-fakultas-ilmu-pendidikan/1771517520.pdf
4. 
https://inspirasidikti.kemdiktisaintek.go.id/unitku/zona-integritas/2026-2235/dokumen/[4] Hasil Kepuasan Layanan Utama?file=2235-universitas-negeri-semarang/171-fakultas-ilmu-pendidikan/1771517522.pdf
5. 
https://inspirasidikti.kemdiktisaintek.go.id/unitku/zona-integritas/2026-2235/dokumen/[5] Daftar Hadir Evaluasi Transformasi Digital?file=2235-universitas-negeri-semarang/171-fakultas-ilmu-pendidikan/1771517525.pdf
6. 
https://inspirasidikti.kemdiktisaintek.go.id/unitku/zona-integritas/2026-2235/dokumen/Laporan Kepuasan Pengguna 2025?file=2235-universitas-negeri-semarang/171-fakultas-ilmu-pendidikan/1771517540.pdf
</t>
  </si>
  <si>
    <t>Transformasi digital pada unit  bidang proses bisnis utama telah mampu memberikan nilai manfaat bagi unit kerja secara optimal</t>
  </si>
  <si>
    <t>Transformasi digital pada bidang administrasi pemerintahan telah mampu memberikan nilai manfaat bagi unit kerja secara optimal</t>
  </si>
  <si>
    <t>a. Kriteria huruf b telah terpenuhi dan penerapan atau penggunaan dari manfaat/dampak dari transformasi digital pada bidang administrasi pemerintahan bagi unit kerja telah dilakukan validasi dan evaluasi serta ditindaklanjuti secara berkelanjutan
b. Kriteria huruf c telah terpenuhi dan manfaat/dampak dari transformasi digital pada bidang administrasi pemerintahan telah diterapkan/digunakan oleh unit kerja sesuai dengan sasaran dan target manfaat/dampak
c. Kriteria huruf d telah terpenuhi dan manfaat/dampak dari transformasi digital pada bidang administrasi pemerintahan telah mampu direalisasikan pada unit kerja sesuai dengan sasaran dan target manfaat/dampak
d. Kriteria huruf e telah terpenuhi dan kapabilitas prakiraan dan pelacakan terhadap sasaran dan target manfaat/dampak dari transformasi digital pada bidang administrasi pemerintahan
e. Sasaran dan target manfaat/dampak dari transformasi digital pada bidang administrasi pemerintahan telah direncanakan, didefinisikan, dan ditetapkan</t>
  </si>
  <si>
    <t>Transformasi digital pada proses bisnis utama FIPP telah diterapkan dan memberikan manfaat optimal bagi unit kerja. Penerapan ini telah melalui tahap validasi, evaluasi, serta tindak lanjut yang berkelanjutan untuk memastikan efektivitasnya. Bukti dukung berupa surat undangan evaluasi, notulensi hasil rapat, dokumentasi hasil pembaruan, dan hasil kepuasan layanan utama menunjukkan bahwa manfaat transformasi digital telah dirasakan dan dievaluasi sesuai dengan target yang ditetapkan.</t>
  </si>
  <si>
    <t xml:space="preserve">1. 
[1] LAPORAN TRANSFORMASI DIGITAL
2. 
[2] LAPORAN DAMPAK TRANSFORMASI DIGITAL
3. 
[3] Aplikasi Layanan Administrasi UNNES
4. 
[4] Dokumentasi di Bidang Administrasi Digital
</t>
  </si>
  <si>
    <t xml:space="preserve">1. 
https://inspirasidikti.kemdiktisaintek.go.id/unitku/zona-integritas/2026-2235/dokumen/[1] LAPORAN TRANSFORMASI DIGITAL?file=2235-universitas-negeri-semarang/171-fakultas-ilmu-pendidikan/1771517776.pdf
2. 
https://inspirasidikti.kemdiktisaintek.go.id/unitku/zona-integritas/2026-2235/dokumen/[2] LAPORAN DAMPAK TRANSFORMASI DIGITAL?file=2235-universitas-negeri-semarang/171-fakultas-ilmu-pendidikan/1771517778.pdf
3. 
https://inspirasidikti.kemdiktisaintek.go.id/unitku/zona-integritas/2026-2235/dokumen/[3] Aplikasi Layanan Administrasi UNNES?file=2235-universitas-negeri-semarang/171-fakultas-ilmu-pendidikan/1771517781.pdf
4. 
https://inspirasidikti.kemdiktisaintek.go.id/unitku/zona-integritas/2026-2235/dokumen/[4] Dokumentasi di Bidang Administrasi Digital?file=2235-universitas-negeri-semarang/171-fakultas-ilmu-pendidikan/1771517783.pdf
</t>
  </si>
  <si>
    <t>Unit telah melaksanakan transformasi digital pada bidang administrasi pemerintahan telah mampu memberikan nilai manfaat bagi unit kerja secara optimal</t>
  </si>
  <si>
    <t>Transformasi digital pada bidang pelayanan publik telah mampu memberikan nilai manfaat bagi unit kerja secara optimal</t>
  </si>
  <si>
    <t>a. Kriteria huruf b telah terpenuhi dan penerapan atau penggunaan dari manfaat/dampak dari transformasi digital pada bidang pelayanan publik bagi unit kerja telah dilakukan validasi dan evaluasi serta ditindaklanjuti secara berkelanjutan
b. Kriteria huruf c telah terpenuhi dan manfaat/dampak dari transformasi digital pada bidang pelayanan publik telah diterapkan/digunakan oleh unit kerja sesuai dengan sasaran dan target manfaat/dampak
c. Kriteria huruf d telah terpenuhi dan manfaat/dampak dari transformasi digital pada bidang pelayanan publik telah mampu direalisasikan pada unit kerja sesuai dengan sasaran dan target manfaat/dampak
d. Kriteria huruf e telah terpenuhi dan kapabilitas prakiraan dan pelacakan terhadap sasaran dan target manfaat/dampak dari transformasi digital pada bidang pelayanan publik
e. Sasaran dan target manfaat/dampak dari transformasi digital pada bidang pelayanan publik telah direncanakan, didefinisikan, dan ditetapkan</t>
  </si>
  <si>
    <t>Transformasi digital dalam bidang pelayanan publik FIPP telah memberikan manfaat optimal bagi unit kerja. Evaluasi, validasi, serta tindak lanjut telah dilakukan untuk memastikan implementasi yang efektif sesuai dengan sasaran dan target yang ditetapkan. Bukti pendukung yang tersedia, seperti laporan dampak transformasi pelayanan publik, hasil survei kepuasan dosen, mahasiswa, tenaga pendidik, serta kesiapan alumni, menunjukkan bahwa transformasi ini telah dirasakan oleh berbagai pemangku kepentingan. Hal ini mencerminkan bahwa manfaat transformasi digital dalam pelayanan publik telah dirancang, diimplementasikan, dan dipantau secara sistematis.</t>
  </si>
  <si>
    <t xml:space="preserve">1. 
LAPORAN TRANSFORMASI PELAYANAN PUBLIK
2. 
LAPORAN DAMPAK TRANSFORMASI PELAYANAN PUBLIK
3. 
[3] Kepuasan Dosen
4. 
[4] Kepuasan Dosen tiap Fakultas
5. 
[5] Kepuasan Mahasiswa_
6. 
[6] Kepuasan Tenaga Pendidik
7. 
Laporan Kepuasan Pengguna 2025
</t>
  </si>
  <si>
    <t xml:space="preserve">1. 
https://inspirasidikti.kemdiktisaintek.go.id/unitku/zona-integritas/2026-2235/dokumen/LAPORAN TRANSFORMASI PELAYANAN PUBLIK?file=2235-universitas-negeri-semarang/171-fakultas-ilmu-pendidikan/1771517842.pdf
2. 
https://inspirasidikti.kemdiktisaintek.go.id/unitku/zona-integritas/2026-2235/dokumen/LAPORAN DAMPAK TRANSFORMASI PELAYANAN PUBLIK?file=2235-universitas-negeri-semarang/171-fakultas-ilmu-pendidikan/1771517851.pdf
3. 
https://inspirasidikti.kemdiktisaintek.go.id/unitku/zona-integritas/2026-2235/dokumen/[3] Kepuasan Dosen?file=2235-universitas-negeri-semarang/171-fakultas-ilmu-pendidikan/1771517853.pdf
4. 
https://inspirasidikti.kemdiktisaintek.go.id/unitku/zona-integritas/2026-2235/dokumen/[4] Kepuasan Dosen tiap Fakultas?file=2235-universitas-negeri-semarang/171-fakultas-ilmu-pendidikan/1771517856.pdf
5. 
https://inspirasidikti.kemdiktisaintek.go.id/unitku/zona-integritas/2026-2235/dokumen/[5] Kepuasan Mahasiswa_?file=2235-universitas-negeri-semarang/171-fakultas-ilmu-pendidikan/1771517858.pdf
6. 
https://inspirasidikti.kemdiktisaintek.go.id/unitku/zona-integritas/2026-2235/dokumen/[6] Kepuasan Tenaga Pendidik?file=2235-universitas-negeri-semarang/171-fakultas-ilmu-pendidikan/1771517862.pdf
7. 
https://inspirasidikti.kemdiktisaintek.go.id/unitku/zona-integritas/2026-2235/dokumen/Laporan Kepuasan Pengguna 2025?file=2235-universitas-negeri-semarang/171-fakultas-ilmu-pendidikan/1771517877.pdf
</t>
  </si>
  <si>
    <t>Unit telah melaksanakan transformasi digital pada bidang pelayanan publik telah mampu memberikan nilai manfaat bagi unit kerja secara optimal</t>
  </si>
  <si>
    <t>Kinerja Individu</t>
  </si>
  <si>
    <t>Ukuran kinerja individu telah berorientasi hasil (outcome) sesuai pada levelnya</t>
  </si>
  <si>
    <t>a. Seluruh ukuran kinerja individu telah berorientasi hasil (outcome) sesuai pada levelnya
b. Sebagian ukuran kinerja individu telah berorientasi hasil (outcome) sesuai pada levelnya
c. Tidak ada ukuran kinerja individu yang berorientasi hasil (outcome)</t>
  </si>
  <si>
    <t>Ukuran kinerja pegawai di FIPP telah berorientasi pada hasil. Data pendukung berupa hasil SKP,  laporan tindak lanjut, sasaran kinerja dan dampak terhadap layanan</t>
  </si>
  <si>
    <t xml:space="preserve">1. 
i.a sk dosen
2. 
i.a sk III a koko
3. 
i.a SKP Tenaga Kependidikan
4. 
i.a Laporan Tindak Lanjut Hasil Evaluasi Dampak Kinerja Individu terhadap pengguna layanan - Reform
5. 
B. i. dokumen sasaran kinerja fipp
6. 
i.a Inventarisasi jenis layanan - Reform
7. 
i.a Dokumen Dampak Kinerja Individu terhadap pengguna layanan
</t>
  </si>
  <si>
    <t xml:space="preserve">1. 
https://inspirasidikti.kemdiktisaintek.go.id/unitku/zona-integritas/2026-2235/dokumen/i.a sk dosen?file=2235-universitas-negeri-semarang/171-fakultas-ilmu-pendidikan/1771445457.pdf
2. 
https://inspirasidikti.kemdiktisaintek.go.id/unitku/zona-integritas/2026-2235/dokumen/i.a sk III a koko?file=2235-universitas-negeri-semarang/171-fakultas-ilmu-pendidikan/1771445467.pdf
3. 
https://inspirasidikti.kemdiktisaintek.go.id/unitku/zona-integritas/2026-2235/dokumen/i.a SKP Tenaga Kependidikan?file=2235-universitas-negeri-semarang/171-fakultas-ilmu-pendidikan/1771445483.pdf
4. 
https://inspirasidikti.kemdiktisaintek.go.id/unitku/zona-integritas/2026-2235/dokumen/i.a Laporan Tindak Lanjut Hasil Evaluasi Dampak Kinerja Individu terhadap pengguna layanan - Reform?file=2235-universitas-negeri-semarang/171-fakultas-ilmu-pendidikan/1771445495.pdf
5. 
https://inspirasidikti.kemdiktisaintek.go.id/unitku/zona-integritas/2026-2235/dokumen/B. i. dokumen sasaran kinerja fipp?file=2235-universitas-negeri-semarang/171-fakultas-ilmu-pendidikan/1771445513.pdf
6. 
https://inspirasidikti.kemdiktisaintek.go.id/unitku/zona-integritas/2026-2235/dokumen/i.a Inventarisasi jenis layanan - Reform?file=2235-universitas-negeri-semarang/171-fakultas-ilmu-pendidikan/1771445531.pdf
7. 
https://inspirasidikti.kemdiktisaintek.go.id/unitku/zona-integritas/2026-2235/dokumen/i.a Dokumen Dampak Kinerja Individu terhadap pengguna layanan?file=2235-universitas-negeri-semarang/171-fakultas-ilmu-pendidikan/1771445546.pdf
</t>
  </si>
  <si>
    <t>ukuran kinerja individu di unit telah berorientasi hasil (outcome) sesuai pada levelnya</t>
  </si>
  <si>
    <t>Assessment Pegawai</t>
  </si>
  <si>
    <t>Hasil assement telah dijadikan pertimbangan untuk mutasi dan pengembangan karir pegawai</t>
  </si>
  <si>
    <t>a. Seluruh hasil assessment dijadikan dasar mutasi internal dan pengembangan kompetensi pegawai
b. Hasil assessment belum seluruhnya dijadikan mutasi internal dan pengembangan kompetensi pegawai
c. Hasil assessment belum dijadikan dasar mutasi internal dan pengembangan kompetensi pegawai</t>
  </si>
  <si>
    <t>Hasil dari asesmen pegawai dijadikan sebagai pertimbangan mutasi dan pengembangan karir pegawai. Dilampirkan hasil penilaian berupa SKP, hasil asesmen dan peta minat pegawai.</t>
  </si>
  <si>
    <t xml:space="preserve">1. 
B.II.a SKP Akaat
2. 
B.II.a SKP P Sobri
3. 
B.II.a SKP Wantoro
4. 
B.ii.a Hasil Asesmen Pegawai FIPP
5. 
B. ii.a Bukti asesmen pegawai
6. 
B.ii.a Peta Minat
</t>
  </si>
  <si>
    <t xml:space="preserve">1. 
https://inspirasidikti.kemdiktisaintek.go.id/unitku/zona-integritas/2026-2235/dokumen/B.II.a SKP Akaat?file=2235-universitas-negeri-semarang/171-fakultas-ilmu-pendidikan/1771445620.pdf
2. 
https://inspirasidikti.kemdiktisaintek.go.id/unitku/zona-integritas/2026-2235/dokumen/B.II.a SKP P Sobri?file=2235-universitas-negeri-semarang/171-fakultas-ilmu-pendidikan/1771445624.pdf
3. 
https://inspirasidikti.kemdiktisaintek.go.id/unitku/zona-integritas/2026-2235/dokumen/B.II.a SKP Wantoro?file=2235-universitas-negeri-semarang/171-fakultas-ilmu-pendidikan/1771445633.pdf
4. 
https://inspirasidikti.kemdiktisaintek.go.id/unitku/zona-integritas/2026-2235/dokumen/B.ii.a Hasil Asesmen Pegawai FIPP?file=2235-universitas-negeri-semarang/171-fakultas-ilmu-pendidikan/1771445644.pdf
5. 
https://inspirasidikti.kemdiktisaintek.go.id/unitku/zona-integritas/2026-2235/dokumen/B. ii.a Bukti asesmen pegawai?file=2235-universitas-negeri-semarang/171-fakultas-ilmu-pendidikan/1771445657.pdf
6. 
https://inspirasidikti.kemdiktisaintek.go.id/unitku/zona-integritas/2026-2235/dokumen/B.ii.a Peta Minat?file=2235-universitas-negeri-semarang/171-fakultas-ilmu-pendidikan/1771445669.pdf
</t>
  </si>
  <si>
    <t>Hasil assement di unit telah dijadikan pertimbangan untuk mutasi dan pengembangan karir pegawai</t>
  </si>
  <si>
    <t>Pelanggaran Disiplin Pegawai</t>
  </si>
  <si>
    <t>Penurunan pelanggaran disiplin pegawai</t>
  </si>
  <si>
    <t>Persentase pernurunan pelanggaran disiplin pegawai diperoleh dari Jumlah pelanggaran tahun sebelumnya dikurangi Jumlah pelanggaran tahun ini kemudian dibagi dengan Jumlah pelanggaran tahun sebelumnya</t>
  </si>
  <si>
    <t>Pada tahun 2026 ini terjadi penurunan pelanggaran pegawai. Pada tahun lalu terdapat 2 pelanggaran, pada tahun ini terdapat 1 pelanggaran.</t>
  </si>
  <si>
    <t xml:space="preserve">1. 
iii.a iii.a Reform Edaran Disiplin Pegawai Fix
2. 
v.a Laporan Pelanggaran
3. 
v.a Dokumen Etika dan Tata Tertin Pegawai Unnes
4. 
v.a Bukti sanksi pelanggaran
5. 
B.iii.a 220622 Rekap Pelanggaran Disiplin FIPP_2023-2025
</t>
  </si>
  <si>
    <t xml:space="preserve">1. 
https://inspirasidikti.kemdiktisaintek.go.id/unitku/zona-integritas/2026-2235/dokumen/iii.a iii.a Reform Edaran Disiplin Pegawai Fix?file=2235-universitas-negeri-semarang/171-fakultas-ilmu-pendidikan/1771445733.pdf
2. 
https://inspirasidikti.kemdiktisaintek.go.id/unitku/zona-integritas/2026-2235/dokumen/v.a Laporan Pelanggaran?file=2235-universitas-negeri-semarang/171-fakultas-ilmu-pendidikan/1771445746.pdf
3. 
https://inspirasidikti.kemdiktisaintek.go.id/unitku/zona-integritas/2026-2235/dokumen/v.a Dokumen Etika dan Tata Tertin Pegawai Unnes?file=2235-universitas-negeri-semarang/171-fakultas-ilmu-pendidikan/1771445755.pdf
4. 
https://inspirasidikti.kemdiktisaintek.go.id/unitku/zona-integritas/2026-2235/dokumen/v.a Bukti sanksi pelanggaran?file=2235-universitas-negeri-semarang/171-fakultas-ilmu-pendidikan/1771445766.pdf
5. 
https://inspirasidikti.kemdiktisaintek.go.id/unitku/zona-integritas/2026-2235/dokumen/B.iii.a 220622 Rekap Pelanggaran Disiplin FIPP_2023-2025?file=2235-universitas-negeri-semarang/171-fakultas-ilmu-pendidikan/1771445806.pdf
</t>
  </si>
  <si>
    <t>Terdapat penurunan pelanggaran disiplin pegawai di unit</t>
  </si>
  <si>
    <t>- Jumlah pelanggaran tahun sebelumnya</t>
  </si>
  <si>
    <t>- Jumlah pelanggaran tahun ini</t>
  </si>
  <si>
    <t>- Jumlah pelanggaran yang telah diberikan sanksi/hukuman</t>
  </si>
  <si>
    <t>Meningkatnya capaian kinerja unit kerja</t>
  </si>
  <si>
    <t xml:space="preserve">Persentase Sasaran dengan capaian 100% atau lebih </t>
  </si>
  <si>
    <t>Persentase diperoleh dari Jumlah Sasaran Kinerja yang tercapai 100% atau lebih dibagi dengan Jumlah Sasaran Kinerja</t>
  </si>
  <si>
    <t>1. Lakin unnes 2023
2. Capaian Kinerja FIPP 2023
3. Lakin fipp 2023
4. Lakin fipp 2024
5. Lakin unnes 2024
6. Lakuk fipp 2023
7. LAKUK FIPP 2024
8. Narasi Capaian Kinerja Tahun 2023
9. Narasi Capaian Kinerja Tahun 2024
10. Perjanjian Kinerja Dekan FIPP 2023
11. Perjanjian Kinerja Dekan FIPP 2024
12. Perjanjian Kinerja Dekan FIPP 2025
13. simpulan AMI FIP 2023</t>
  </si>
  <si>
    <t xml:space="preserve">1. 
LAKIN UNNES 2023
2. 
Capaian Kinerja FIPP 2023
3. 
LAKIN FIPP 2023
4. 
LAKIN FIPP 2024
5. 
LAKIN UNNES 2024
6. 
LAKUK FIPP 2023
7. 
LAKUK FIPP 2024
8. 
Narasi Capaian Kinerja Tahun 2023
9. 
Narasi Capaian Kinerja Tahun 2024
10. 
Perjanjian Kinerja Dekan FIPP 2023
11. 
Perjanjian Kinerja Dekan FIPP 2024
12. 
Perjanjian Kinerja Dekan FIPP 2025
13. 
simpulan AMI FIP 2023
</t>
  </si>
  <si>
    <t xml:space="preserve">1. 
https://inspirasidikti.kemdiktisaintek.go.id/unitku/zona-integritas/2026-2235/dokumen/LAKIN UNNES 2023?file=2235-universitas-negeri-semarang/171-fakultas-ilmu-pendidikan/1770952980.pdf
2. 
https://inspirasidikti.kemdiktisaintek.go.id/unitku/zona-integritas/2026-2235/dokumen/Capaian Kinerja FIPP 2023?file=2235-universitas-negeri-semarang/171-fakultas-ilmu-pendidikan/1770952902.pdf
3. 
https://inspirasidikti.kemdiktisaintek.go.id/unitku/zona-integritas/2026-2235/dokumen/LAKIN FIPP 2023?file=2235-universitas-negeri-semarang/171-fakultas-ilmu-pendidikan/1770952948.pdf
4. 
https://inspirasidikti.kemdiktisaintek.go.id/unitku/zona-integritas/2026-2235/dokumen/LAKIN FIPP 2024?file=2235-universitas-negeri-semarang/171-fakultas-ilmu-pendidikan/1770952965.pdf
5. 
https://inspirasidikti.kemdiktisaintek.go.id/unitku/zona-integritas/2026-2235/dokumen/LAKIN UNNES 2024?file=2235-universitas-negeri-semarang/171-fakultas-ilmu-pendidikan/1770952988.pdf
6. 
https://inspirasidikti.kemdiktisaintek.go.id/unitku/zona-integritas/2026-2235/dokumen/LAKUK FIPP 2023?file=2235-universitas-negeri-semarang/171-fakultas-ilmu-pendidikan/1770953006.pdf
7. 
https://inspirasidikti.kemdiktisaintek.go.id/unitku/zona-integritas/2026-2235/dokumen/LAKUK FIPP 2024?file=2235-universitas-negeri-semarang/171-fakultas-ilmu-pendidikan/1770953013.pdf
8. 
https://inspirasidikti.kemdiktisaintek.go.id/unitku/zona-integritas/2026-2235/dokumen/Narasi Capaian Kinerja Tahun 2023?file=2235-universitas-negeri-semarang/171-fakultas-ilmu-pendidikan/1770953017.pdf
9. 
https://inspirasidikti.kemdiktisaintek.go.id/unitku/zona-integritas/2026-2235/dokumen/Narasi Capaian Kinerja Tahun 2024?file=2235-universitas-negeri-semarang/171-fakultas-ilmu-pendidikan/1770953023.pdf
10. 
https://inspirasidikti.kemdiktisaintek.go.id/unitku/zona-integritas/2026-2235/dokumen/Perjanjian Kinerja Dekan FIPP 2023?file=2235-universitas-negeri-semarang/171-fakultas-ilmu-pendidikan/1770953093.pdf
11. 
https://inspirasidikti.kemdiktisaintek.go.id/unitku/zona-integritas/2026-2235/dokumen/Perjanjian Kinerja Dekan FIPP 2024?file=2235-universitas-negeri-semarang/171-fakultas-ilmu-pendidikan/1770953113.pdf
12. 
https://inspirasidikti.kemdiktisaintek.go.id/unitku/zona-integritas/2026-2235/dokumen/Perjanjian Kinerja Dekan FIPP 2025?file=2235-universitas-negeri-semarang/171-fakultas-ilmu-pendidikan/1770953134.pdf
13. 
https://inspirasidikti.kemdiktisaintek.go.id/unitku/zona-integritas/2026-2235/dokumen/simpulan AMI FIP 2023?file=2235-universitas-negeri-semarang/171-fakultas-ilmu-pendidikan/1770953137.pdf
</t>
  </si>
  <si>
    <t>Lengkapi dengan  dokumen capaian kinerja untuk tahun 2025</t>
  </si>
  <si>
    <t xml:space="preserve">- Jumlah Sasaran Kinerja </t>
  </si>
  <si>
    <t xml:space="preserve">- Jumlah Sasaran Kinerja yang tercapai 100% atau lebih </t>
  </si>
  <si>
    <t>Pemberian Reward and Punishment</t>
  </si>
  <si>
    <t>Hasil Capaian/Monitoring Perjanjian Kinerja telah dijadikan dasar sebagai pemberian reward and punishment bagi organisasi</t>
  </si>
  <si>
    <t>a. Seluruh capaian kinerja (Perjanjian Kinerja) merupakan unsur dalam pemberian reward and punishment
b. Sebagian besar Capaian Kinerja (lebih dari 50% Perjanjian kinerja) merupakan unsur dalam pemberian reward and punishment
c. Sebagian kecil Capaian Kinerja (kurang dari 50% Perjanjian kinerja) merupakan unsur dalam pemberian reward and punishment
d. Capaian Kinerja (Perjanjian kinerja) belum menjadi unsur dalam pemberian reward and punishment</t>
  </si>
  <si>
    <t>1. Dokumen Punishment (Teguran) Ketidakdisiplinan pegawai dalam Kegiatan
2. Dokumen Teguran Ketidakhadiran Rapat Pleno Fakultas
3. dokumentasi monev perjanjian kinerja dan penghargaan prestasi 2024
4. Dokumentasi Pemberian Reward Dosen dengan Capaian IKU Terbaik
5. Dokumentasi Pemberian Reward Prodi dengan Capaian IKU Terbaik
6. Monev FIPP TW 1 tahun 2023
7. Monev FIPP TW 1 tahun 2024
8. Monev FIPP TW 2 tahun 2023
9. Monev FIPP TW 2 tahun 2024
10. Monev FIPP TW 3 tahun 2023
11. Monev FIPP TW 3 tahun 2024
12. Monev FIPP TW 4 tahun 2024
13. Peraturan Rektor No 5 Tahun 2020 revisi no 31 tahun 2019 atas Penghargaan atas Kekayaan intelektual dan publikasi
14. Peraturan Rektor no 18 tahun 2019 reward &amp; punishment layanan publik unnes
15. Peraturan Rektor No 26 tahun 2018 Pemberian Penghargaan atas Karya Paten Hak Cipta Desai Industri Publikasi Dosen Buku Referensi dan Book Chapter
16. Peraturan Rektor no 54 tahun 2018 reward &amp; punishment pegawai unnes akan capaian kinerja
17. Melengkapi Bukti Dokumen Surat Teguran pada 2025
18. Melengkapi Bukti Pemberiaan Reward pada tahun 2025
19. Melengkapi Bukti Pemberian Reward pada tahun 2025 tidak hanya pada Dosen dan Tendik tetapi juga menyentuh mahasiswa yang mendukung pencapaian IKU dan SDGs
20. Melengkapi hasil monev triwulan 1-4 tahun 2025</t>
  </si>
  <si>
    <t xml:space="preserve">1. 
Dokumen Punishment (Teguran) Ketidakdisiplinan pegawai dalam Kegiatan
2. 
Dokumen Teguran Ketidakhadiran Rapat Pleno Fakultas
3. 
dokumentasi monev perjanjian kinerja dan penghargaan prestasi 2024
4. 
Dokumentasi Pemberian Reward Dosen dengan Capaian IKU Terbaik
5. 
Dokumentasi Pemberian Reward Prodi dengan Capaian IKU Terbaik
6. 
Monev FIPP TW 1 tahun 2023
7. 
Monev FIPP TW 1 tahun 2024
8. 
Monev FIPP TW 2 tahun 2023
9. 
Monev FIPP TW 2 tahun 2024
10. 
Monev FIPP TW 3 tahun 2023
11. 
Monev FIPP TW 3 tahun 2024
12. 
Monev FIPP TW 4 tahun 2024
13. 
Peraturan Rektor No 5 Tahun 2020 revisi no 31 tahun 2019 atas Penghargaan atas Kekayaan intelektual dan publikasi
14. 
Peraturan Rektor no 18 tahun 2019 reward &amp; punishment layanan publik unnes
15. 
Peraturan Rektor No 26 tahun 2018 Pemberian Penghargaan atas Karya Paten Hak Cipta Desai Industri Publikasi Dosen Buku Referensi dan Book Chapter
16. 
Peraturan Rektor no 54 tahun 2018 reward &amp; punishment pegawai unnes akan capaian kinerja
17. 
Hasil Monev Triwulan 1-4 Tahun 2025
18. 
Dokumen Surat Teguran 2025
19. 
Bukti Dukung Pemberian Reward Dosen dan Tendik Berprestasi 2025
20. 
SK Pemberian Reward Prestasi Mahasiswa 2025
</t>
  </si>
  <si>
    <t xml:space="preserve">1. 
https://inspirasidikti.kemdiktisaintek.go.id/unitku/zona-integritas/2026-2235/dokumen/Dokumen Punishment (Teguran) Ketidakdisiplinan pegawai dalam Kegiatan?file=2235-universitas-negeri-semarang/171-fakultas-ilmu-pendidikan/1770953347.pdf
2. 
https://inspirasidikti.kemdiktisaintek.go.id/unitku/zona-integritas/2026-2235/dokumen/Dokumen Teguran Ketidakhadiran Rapat Pleno Fakultas?file=2235-universitas-negeri-semarang/171-fakultas-ilmu-pendidikan/1770953354.pdf
3. 
https://inspirasidikti.kemdiktisaintek.go.id/unitku/zona-integritas/2026-2235/dokumen/dokumentasi monev perjanjian kinerja dan penghargaan prestasi 2024?file=2235-universitas-negeri-semarang/171-fakultas-ilmu-pendidikan/1770953372.pdf
4. 
https://inspirasidikti.kemdiktisaintek.go.id/unitku/zona-integritas/2026-2235/dokumen/Dokumentasi Pemberian Reward Dosen dengan Capaian IKU Terbaik?file=2235-universitas-negeri-semarang/171-fakultas-ilmu-pendidikan/1770953377.pdf
5. 
https://inspirasidikti.kemdiktisaintek.go.id/unitku/zona-integritas/2026-2235/dokumen/Dokumentasi Pemberian Reward Prodi dengan Capaian IKU Terbaik?file=2235-universitas-negeri-semarang/171-fakultas-ilmu-pendidikan/1770953383.pdf
6. 
https://inspirasidikti.kemdiktisaintek.go.id/unitku/zona-integritas/2026-2235/dokumen/Monev FIPP TW 1 tahun 2023?file=2235-universitas-negeri-semarang/171-fakultas-ilmu-pendidikan/1770953391.pdf
7. 
https://inspirasidikti.kemdiktisaintek.go.id/unitku/zona-integritas/2026-2235/dokumen/Monev FIPP TW 1 tahun 2024?file=2235-universitas-negeri-semarang/171-fakultas-ilmu-pendidikan/1770953396.pdf
8. 
https://inspirasidikti.kemdiktisaintek.go.id/unitku/zona-integritas/2026-2235/dokumen/Monev FIPP TW 2 tahun 2023?file=2235-universitas-negeri-semarang/171-fakultas-ilmu-pendidikan/1770953402.pdf
9. 
https://inspirasidikti.kemdiktisaintek.go.id/unitku/zona-integritas/2026-2235/dokumen/Monev FIPP TW 2 tahun 2024?file=2235-universitas-negeri-semarang/171-fakultas-ilmu-pendidikan/1770953413.pdf
10. 
https://inspirasidikti.kemdiktisaintek.go.id/unitku/zona-integritas/2026-2235/dokumen/Monev FIPP TW 3 tahun 2023?file=2235-universitas-negeri-semarang/171-fakultas-ilmu-pendidikan/1770953429.pdf
11. 
https://inspirasidikti.kemdiktisaintek.go.id/unitku/zona-integritas/2026-2235/dokumen/Monev FIPP TW 3 tahun 2024?file=2235-universitas-negeri-semarang/171-fakultas-ilmu-pendidikan/1770953435.pdf
12. 
https://inspirasidikti.kemdiktisaintek.go.id/unitku/zona-integritas/2026-2235/dokumen/Monev FIPP TW 4 tahun 2024?file=2235-universitas-negeri-semarang/171-fakultas-ilmu-pendidikan/1770953439.pdf
13. 
https://inspirasidikti.kemdiktisaintek.go.id/unitku/zona-integritas/2026-2235/dokumen/Peraturan Rektor No 5 Tahun 2020 revisi no 31 tahun 2019 atas Penghargaan atas Kekayaan intelektual dan publikasi?file=2235-universitas-negeri-semarang/171-fakultas-ilmu-pendidikan/1770953444.pdf
14. 
https://inspirasidikti.kemdiktisaintek.go.id/unitku/zona-integritas/2026-2235/dokumen/Peraturan Rektor no 18 tahun 2019 reward &amp; punishment layanan publik unnes?file=2235-universitas-negeri-semarang/171-fakultas-ilmu-pendidikan/1770953449.pdf
15. 
https://inspirasidikti.kemdiktisaintek.go.id/unitku/zona-integritas/2026-2235/dokumen/Peraturan Rektor No 26 tahun 2018 Pemberian Penghargaan atas Karya Paten Hak Cipta Desai Industri Publikasi Dosen Buku Referensi dan Book Chapter?file=2235-universitas-negeri-semarang/171-fakultas-ilmu-pendidikan/1770953467.pdf
16. 
https://inspirasidikti.kemdiktisaintek.go.id/unitku/zona-integritas/2026-2235/dokumen/Peraturan Rektor no 54 tahun 2018 reward &amp; punishment pegawai unnes akan capaian kinerja?file=2235-universitas-negeri-semarang/171-fakultas-ilmu-pendidikan/1770953475.pdf
17. 
https://inspirasidikti.kemdiktisaintek.go.id/unitku/zona-integritas/2026-2235/dokumen/Hasil Monev Triwulan 1-4 Tahun 2025?file=2235-universitas-negeri-semarang/171-fakultas-ilmu-pendidikan/1772604028.pdf
18. 
https://inspirasidikti.kemdiktisaintek.go.id/unitku/zona-integritas/2026-2235/dokumen/Dokumen Surat Teguran 2025?file=2235-universitas-negeri-semarang/171-fakultas-ilmu-pendidikan/1772601798.pdf
19. 
https://inspirasidikti.kemdiktisaintek.go.id/unitku/zona-integritas/2026-2235/dokumen/Bukti Dukung Pemberian Reward Dosen dan Tendik Berprestasi 2025?file=2235-universitas-negeri-semarang/171-fakultas-ilmu-pendidikan/1772602260.pdf
20. 
https://inspirasidikti.kemdiktisaintek.go.id/unitku/zona-integritas/2026-2235/dokumen/SK Pemberian Reward Prestasi Mahasiswa 2025?file=2235-universitas-negeri-semarang/171-fakultas-ilmu-pendidikan/1772602564.pdf
</t>
  </si>
  <si>
    <t>lengkapi dengan dokumen di tahun 2025</t>
  </si>
  <si>
    <t>Kerangka Logis Kinerja</t>
  </si>
  <si>
    <t xml:space="preserve">Apakah terdapat penjenjangan kinerja ((Kerangka Logis Kinerja) yang mengacu pada kinerja utama  organisasi dan dijadikan dalam penentuan kinerja seluruh pegawai? </t>
  </si>
  <si>
    <t>a. terdapat Kerangka Logis kinerja yang mengacu pada kinerja utama organisasi  dan digunakan dalam penjabaran kinerja seluruh pegawai
b. terdapat  Kerangka Logis kinerja yang mengacu pada kinerja utama organisasi namun belum digunakan dalam penjabaran kinerja seluruh pegawai
c. Kerangka Logis kinerja ada namun belum mengacu pada kinerja utama organisasi dan belum digunakan dalam penjabaran kinerja seluruh pegawai
d. Kerangka Logis kinerja belum ada</t>
  </si>
  <si>
    <t>1. Contoh Penilaian SKP Pejabat FIPP 2024
2. Contoh Penilaian SKP Prodi S1 2024
3. Contoh Penilaian SKP Prodi S2 2024
4. Contoh Penilaian SKP Prodi S3 2024
5. Kerangka Logis Kinerja atau indikator kinerja pegawai 2024
6. Matrik Peran dan Hasil
7. SKP Dosen Prodi S1 2025
8. SKP Dosen Prodi S2 2025
9. SKP Dosen Prodi S3 2025
10. SKP Pejabat FIPP 2025</t>
  </si>
  <si>
    <t xml:space="preserve">1. 
Contoh Penilaian SKP Pejabat FIPP 2024
2. 
Contoh Penilaian SKP Prodi S1 2024
3. 
Contoh Penilaian SKP Prodi S2 2024
4. 
Contoh Penilaian SKP Prodi S3 2024
5. 
Kerangka Logis Kinerja atau indikator kinerja pegawai 2024
6. 
Matrik Peran dan Hasil
7. 
SKP Dosen Prodi S1 2025
8. 
SKP Dosen Prodi S2 2025
9. 
SKP Dosen Prodi S3 2025
10. 
SKP Pejabat FIPP 2025
</t>
  </si>
  <si>
    <t xml:space="preserve">1. 
https://inspirasidikti.kemdiktisaintek.go.id/unitku/zona-integritas/2026-2235/dokumen/Contoh Penilaian SKP Pejabat FIPP 2024?file=2235-universitas-negeri-semarang/171-fakultas-ilmu-pendidikan/1770953692.pdf
2. 
https://inspirasidikti.kemdiktisaintek.go.id/unitku/zona-integritas/2026-2235/dokumen/Contoh Penilaian SKP Prodi S1 2024?file=2235-universitas-negeri-semarang/171-fakultas-ilmu-pendidikan/1770953695.pdf
3. 
https://inspirasidikti.kemdiktisaintek.go.id/unitku/zona-integritas/2026-2235/dokumen/Contoh Penilaian SKP Prodi S2 2024?file=2235-universitas-negeri-semarang/171-fakultas-ilmu-pendidikan/1770953701.pdf
4. 
https://inspirasidikti.kemdiktisaintek.go.id/unitku/zona-integritas/2026-2235/dokumen/Contoh Penilaian SKP Prodi S3 2024?file=2235-universitas-negeri-semarang/171-fakultas-ilmu-pendidikan/1770953708.pdf
5. 
https://inspirasidikti.kemdiktisaintek.go.id/unitku/zona-integritas/2026-2235/dokumen/Kerangka Logis Kinerja atau indikator kinerja pegawai 2024?file=2235-universitas-negeri-semarang/171-fakultas-ilmu-pendidikan/1770953712.pdf
6. 
https://inspirasidikti.kemdiktisaintek.go.id/unitku/zona-integritas/2026-2235/dokumen/Matrik Peran dan Hasil?file=2235-universitas-negeri-semarang/171-fakultas-ilmu-pendidikan/1770953719.pdf
7. 
https://inspirasidikti.kemdiktisaintek.go.id/unitku/zona-integritas/2026-2235/dokumen/SKP Dosen Prodi S1 2025?file=2235-universitas-negeri-semarang/171-fakultas-ilmu-pendidikan/1770953728.pdf
8. 
https://inspirasidikti.kemdiktisaintek.go.id/unitku/zona-integritas/2026-2235/dokumen/SKP Dosen Prodi S2 2025?file=2235-universitas-negeri-semarang/171-fakultas-ilmu-pendidikan/1770953733.pdf
9. 
https://inspirasidikti.kemdiktisaintek.go.id/unitku/zona-integritas/2026-2235/dokumen/SKP Dosen Prodi S3 2025?file=2235-universitas-negeri-semarang/171-fakultas-ilmu-pendidikan/1770953738.pdf
10. 
https://inspirasidikti.kemdiktisaintek.go.id/unitku/zona-integritas/2026-2235/dokumen/SKP Pejabat FIPP 2025?file=2235-universitas-negeri-semarang/171-fakultas-ilmu-pendidikan/1770953745.pdf
</t>
  </si>
  <si>
    <t>sudah ada dokumen pendukung</t>
  </si>
  <si>
    <t>Mekanisme Pengendalian</t>
  </si>
  <si>
    <t>Telah dilakukan mekanisme pengendalian aktivitas secara berjenjang</t>
  </si>
  <si>
    <t>a. Terdapat pengendalian aktivitas utama organisasi yang tersistem mulai dari perencanaan, penilaian risiko, pelaksanaan, monitoring, dan pelaporan oleh penanggung jawab aktivitas serta pimpinan unit kerja dan telah menghasilkan peningkatan kinerja, mekanise kerja baru yang lebih efektif, efisien, dan terkendali
b. Terdapat pengendalian aktivitas utama organisasi yang tersistem mulai dari perencanaan, penilaian risiko, pelaksanaan, monitoring, dan pelaporan oleh penanggung jawab aktivitas serta pimpinan unit kerja namun belum berdampak pada peningkatan kinerja unit kerja
c.Terdapat pengendalian aktivitas utama organisasi yang tersistem mulai dari perencanaan, penilaian risiko, pelaksanaan, monitoring, dan pelaporan oleh penanggung jawab aktivitas
d. Terdapat pengendalian aktivitas utama organisasi tetapi tidak tersistem
e. Tidak terdapat pengendalian atas aktivitas utama organisasi</t>
  </si>
  <si>
    <t>FIPP sudah terdapat pengendalian aktivitas utama organisasi yang tersistem mulai dari perencanaan, penilaian risiko, pelaksanaan, monitoring, dan pelaporan oleh penanggung jawab aktivitas serta pimpinan unit kerja dan telah menghasilkan peningkatan kinerja, mekanise kerja baru yang lebih efektif, efisien, dan terkendali</t>
  </si>
  <si>
    <t xml:space="preserve">1. 
laporan monev area pengawasan (1)
2. 
spt dan lhkpn (Responses)
3. 
Peraruran Rektor NO 6 Tahun 2024 Pengendalian Gratifikasi
4. 
Peraturan Rektor UNNES Nomor 11 Tahun 2023 Tentang Struktur dan Tata Kerja Organisasi di Bawah Rektor UNNES Terbaru
5. 
peta resiko
6. 
Surtug Pengelola Zi 2025
7. 
SK TPG 2026
8. 
SK Tim Satgas Pengaduan 2026
9. 
SK Tim Benturan Kepentingan 2026
10. 
SK Pembentukan Tim Pengendalian Aktivitas Utama Organisasi 2026
</t>
  </si>
  <si>
    <t xml:space="preserve">1. 
https://inspirasidikti.kemdiktisaintek.go.id/unitku/zona-integritas/2026-2235/dokumen/laporan monev area pengawasan (1)?file=2235-universitas-negeri-semarang/171-fakultas-ilmu-pendidikan/1771428638.pdf
2. 
https://inspirasidikti.kemdiktisaintek.go.id/unitku/zona-integritas/2026-2235/dokumen/spt dan lhkpn (Responses)?file=2235-universitas-negeri-semarang/171-fakultas-ilmu-pendidikan/1771428667.pdf
3. 
https://inspirasidikti.kemdiktisaintek.go.id/unitku/zona-integritas/2026-2235/dokumen/Peraruran Rektor NO 6 Tahun 2024 Pengendalian Gratifikasi?file=2235-universitas-negeri-semarang/171-fakultas-ilmu-pendidikan/1771577251.pdf
4. 
https://inspirasidikti.kemdiktisaintek.go.id/unitku/zona-integritas/2026-2235/dokumen/Peraturan Rektor UNNES Nomor 11 Tahun 2023 Tentang Struktur dan Tata Kerja Organisasi di Bawah Rektor UNNES Terbaru?file=2235-universitas-negeri-semarang/171-fakultas-ilmu-pendidikan/1771577285.pdf
5. 
https://inspirasidikti.kemdiktisaintek.go.id/unitku/zona-integritas/2026-2235/dokumen/peta resiko?file=2235-universitas-negeri-semarang/171-fakultas-ilmu-pendidikan/1771577286.pdf
6. 
https://inspirasidikti.kemdiktisaintek.go.id/unitku/zona-integritas/2026-2235/dokumen/Surtug Pengelola Zi 2025?file=2235-universitas-negeri-semarang/171-fakultas-ilmu-pendidikan/1771577295.pdf
7. 
https://inspirasidikti.kemdiktisaintek.go.id/unitku/zona-integritas/2026-2235/dokumen/SK TPG 2026?file=2235-universitas-negeri-semarang/171-fakultas-ilmu-pendidikan/1771577334.pdf
8. 
https://inspirasidikti.kemdiktisaintek.go.id/unitku/zona-integritas/2026-2235/dokumen/SK Tim Satgas Pengaduan 2026?file=2235-universitas-negeri-semarang/171-fakultas-ilmu-pendidikan/1771577354.pdf
9. 
https://inspirasidikti.kemdiktisaintek.go.id/unitku/zona-integritas/2026-2235/dokumen/SK Tim Benturan Kepentingan 2026?file=2235-universitas-negeri-semarang/171-fakultas-ilmu-pendidikan/1771577364.pdf
10. 
https://inspirasidikti.kemdiktisaintek.go.id/unitku/zona-integritas/2026-2235/dokumen/SK Pembentukan Tim Pengendalian Aktivitas Utama Organisasi 2026?file=2235-universitas-negeri-semarang/171-fakultas-ilmu-pendidikan/1771577376.pdf
</t>
  </si>
  <si>
    <t>sudah terdapat dokumen tentang mekanisme pengendalian aktivitas secara berjenjang</t>
  </si>
  <si>
    <t>Penanganan Pengaduan Masyarakat</t>
  </si>
  <si>
    <t>Persentase penanganan pengaduan masyarakat</t>
  </si>
  <si>
    <t>Penilaian ini menghitung realisasi penanganan pengaduan masyarakat yang harus diselesaikan</t>
  </si>
  <si>
    <t xml:space="preserve">1. 
A.7.2026.SK Tim Satgas Pengaduan 2026
2. 
UU No 25 Tahun 2009
3. 
B.2.2024.LAPORAN pengaduan masyarakat 2024
4. 
B.2.2026.LAPORAN pengaduan masyarakat 2026
5. 
B.2.2025.LAPORAN pengaduan masyarakat 2025
</t>
  </si>
  <si>
    <t xml:space="preserve">1. 
https://inspirasidikti.kemdiktisaintek.go.id/unitku/zona-integritas/2026-2235/dokumen/A.7.2026.SK Tim Satgas Pengaduan 2026?file=2235-universitas-negeri-semarang/171-fakultas-ilmu-pendidikan/1771564973.pdf
2. 
https://inspirasidikti.kemdiktisaintek.go.id/unitku/zona-integritas/2026-2235/dokumen/UU No 25 Tahun 2009?file=2235-universitas-negeri-semarang/171-fakultas-ilmu-pendidikan/1771564982.pdf
3. 
https://inspirasidikti.kemdiktisaintek.go.id/unitku/zona-integritas/2026-2235/dokumen/B.2.2024.LAPORAN pengaduan masyarakat 2024?file=2235-universitas-negeri-semarang/171-fakultas-ilmu-pendidikan/1771565105.pdf
4. 
https://inspirasidikti.kemdiktisaintek.go.id/unitku/zona-integritas/2026-2235/dokumen/B.2.2026.LAPORAN pengaduan masyarakat 2026?file=2235-universitas-negeri-semarang/171-fakultas-ilmu-pendidikan/1771565001.pdf
5. 
https://inspirasidikti.kemdiktisaintek.go.id/unitku/zona-integritas/2026-2235/dokumen/B.2.2025.LAPORAN pengaduan masyarakat 2025?file=2235-universitas-negeri-semarang/171-fakultas-ilmu-pendidikan/1771565120.pdf
</t>
  </si>
  <si>
    <t>tercatat baru ada 2 laporan pengaduan dan tindak lanjutnya</t>
  </si>
  <si>
    <t>- Jumlah pengaduan masyarakat yang harus ditindaklanjuti</t>
  </si>
  <si>
    <t>- Jumlah pengaduan masyarakat yang sedang diproses</t>
  </si>
  <si>
    <t>- Jumlah pengaduan masyarakat yang  selesai ditindaklanjuti</t>
  </si>
  <si>
    <t>Penyampaian Laporan Harta Kekayaan</t>
  </si>
  <si>
    <t>NONE</t>
  </si>
  <si>
    <t>Penyampaian Laporan Harta Kekayaan Pejabat Negara (LHKPN)</t>
  </si>
  <si>
    <t>Persentase penyampaian LHKPN</t>
  </si>
  <si>
    <t>Kewajiban Penyelenggara Negara untuk melaporkan harta kekayaan diatur dalam: 
1. Undang-Undang No. 28 Tahun 1999
2. Undang-Undang No. 30 Tahun 2002
3. Undang-Undang No. 10 Tahun 2015
4. Peraturan Komisi Pemberantasan Korupsi No. 07 Tahun 2016
5. Instruksi Presiden No. 5 Tahun 2004
6. SE MenPANRB No. SE/03/M.PAN/01/2005</t>
  </si>
  <si>
    <t>Bukti pegumpulan LHKPN dan SPT. Perbaikan jumlah wajib lapor LHKPN berjumlah 15. bukti dari wajib pajak sudah kami penuhi.</t>
  </si>
  <si>
    <t xml:space="preserve">1. 
Daftar Penyampaian LHKPN Pejabat
2. 
Lapor pajak Kalab Bu Diana
3. 
Lapor Pajak kaprodi Profesi Konselor
4. 
Lapor Pajak WD1_
5. 
Laporan Pajak kaprodi BK
6. 
LHKPN WD3 Bu Nuzulia
7. 
Pengumuman_Harta_Kekayaan_LHKPN_EDY PURWANTO (3) (1)
8. 
Rekapitulsai lapor Pajak dan LHKPN FIPP
9. 
Tanda_Terima_LHKPN_06-March-2025 - MULAWARMAN Unnes (1)
10. 
Tanda_Terima_LHKPN_06-March-2025 - MULAWARMAN Unnes
11. 
Laporan Pajak kaprodi BK
12. 
Tanda_Terima_LHKPN_04-March-2026 Zakki Nurul Amin
13. 
LHKPN Sigit Yulianto, M.Pd. PGSD
14. 
Bukti Laporan LHKPN pada link di bawah ini
</t>
  </si>
  <si>
    <t xml:space="preserve">1. 
https://inspirasidikti.kemdiktisaintek.go.id/unitku/zona-integritas/2026-2235/dokumen/Daftar Penyampaian LHKPN Pejabat?file=2235-universitas-negeri-semarang/171-fakultas-ilmu-pendidikan/1771577486.pdf
2. 
https://inspirasidikti.kemdiktisaintek.go.id/unitku/zona-integritas/2026-2235/dokumen/Lapor pajak Kalab Bu Diana?file=2235-universitas-negeri-semarang/171-fakultas-ilmu-pendidikan/1771577490.pdf
3. 
https://inspirasidikti.kemdiktisaintek.go.id/unitku/zona-integritas/2026-2235/dokumen/Lapor Pajak kaprodi Profesi Konselor?file=2235-universitas-negeri-semarang/171-fakultas-ilmu-pendidikan/1771577498.pdf
4. 
https://inspirasidikti.kemdiktisaintek.go.id/unitku/zona-integritas/2026-2235/dokumen/Lapor Pajak WD1_?file=2235-universitas-negeri-semarang/171-fakultas-ilmu-pendidikan/1771577505.pdf
5. 
https://inspirasidikti.kemdiktisaintek.go.id/unitku/zona-integritas/2026-2235/dokumen/Laporan Pajak kaprodi BK?file=2235-universitas-negeri-semarang/171-fakultas-ilmu-pendidikan/1771577513.pdf
6. 
https://inspirasidikti.kemdiktisaintek.go.id/unitku/zona-integritas/2026-2235/dokumen/LHKPN WD3 Bu Nuzulia?file=2235-universitas-negeri-semarang/171-fakultas-ilmu-pendidikan/1771577536.pdf
7. 
https://inspirasidikti.kemdiktisaintek.go.id/unitku/zona-integritas/2026-2235/dokumen/Pengumuman_Harta_Kekayaan_LHKPN_EDY PURWANTO (3) (1)?file=2235-universitas-negeri-semarang/171-fakultas-ilmu-pendidikan/1771577659.pdf
8. 
https://inspirasidikti.kemdiktisaintek.go.id/unitku/zona-integritas/2026-2235/dokumen/Rekapitulsai lapor Pajak dan LHKPN FIPP?file=2235-universitas-negeri-semarang/171-fakultas-ilmu-pendidikan/1771577677.pdf
9. 
https://inspirasidikti.kemdiktisaintek.go.id/unitku/zona-integritas/2026-2235/dokumen/Tanda_Terima_LHKPN_06-March-2025 - MULAWARMAN Unnes (1)?file=2235-universitas-negeri-semarang/171-fakultas-ilmu-pendidikan/1771577684.pdf
10. 
https://inspirasidikti.kemdiktisaintek.go.id/unitku/zona-integritas/2026-2235/dokumen/Tanda_Terima_LHKPN_06-March-2025 - MULAWARMAN Unnes?file=2235-universitas-negeri-semarang/171-fakultas-ilmu-pendidikan/1771577690.pdf
11. 
https://inspirasidikti.kemdiktisaintek.go.id/unitku/zona-integritas/2026-2235/dokumen/Laporan Pajak kaprodi BK?file=2235-universitas-negeri-semarang/171-fakultas-ilmu-pendidikan/1771577698.pdf
12. 
https://inspirasidikti.kemdiktisaintek.go.id/unitku/zona-integritas/2026-2235/dokumen/Tanda_Terima_LHKPN_04-March-2026 Zakki Nurul Amin?file=2235-universitas-negeri-semarang/171-fakultas-ilmu-pendidikan/1772595830.pdf
13. 
https://inspirasidikti.kemdiktisaintek.go.id/unitku/zona-integritas/2026-2235/dokumen/LHKPN Sigit Yulianto, M.Pd. PGSD?file=2235-universitas-negeri-semarang/171-fakultas-ilmu-pendidikan/1772596232.pdf
14. 
https://inspirasidikti.kemdiktisaintek.go.id/unitku/zona-integritas/2026-2235/dokumen/Bukti Laporan LHKPN pada link di bawah ini?file=2235-universitas-negeri-semarang/171-fakultas-ilmu-pendidikan/1771577117.pdf
</t>
  </si>
  <si>
    <t>sudah ada bukti dokumen lebih lengkap lagi per pejabat bisa disertakan LHKPN nya</t>
  </si>
  <si>
    <t>- Jumlah yang harus melaporkan</t>
  </si>
  <si>
    <t>- Kepala satuan kerja</t>
  </si>
  <si>
    <t>- Pejabat yang diwajibkan menyampaikan LHKPN</t>
  </si>
  <si>
    <t>- Lainnya</t>
  </si>
  <si>
    <t>- Jumlah yang sudah melaporkan</t>
  </si>
  <si>
    <t>Penyampaian Laporan Harta Kekayaan Aparatur Sipil Negara (LHKASN)</t>
  </si>
  <si>
    <t>Persentase penyampaian LHKASN</t>
  </si>
  <si>
    <t>Penyampaian LHKASN diatur dalam:
1. Undang-Undang No. 28 Tahun 1999
2. Undang-Undang No. 30 Tahun 2002
3. Undang-Undang No. 10 Tahun 2015
4. SE MenPANRB No. 1 Tahun 2015</t>
  </si>
  <si>
    <t>Penyampaian Laporan Harta Kekayaan Aparatur Sipil Negara (LHKASN)
Persentase penyampaian LHKASN
bukti update laporan pajak sudah di tambahakan dan direvisi sesuai saran.</t>
  </si>
  <si>
    <t>1. 
Bukti Laporan LHKPN pada link di bawah ini</t>
  </si>
  <si>
    <t>https://inspirasidikti.kemdiktisaintek.go.id/unitku/zona-integritas/2026-2235/dokumen/Bukti Laporan LHKPN pada link di bawah ini?file=2235-universitas-negeri-semarang/171-fakultas-ilmu-pendidikan/1771577873.pdf</t>
  </si>
  <si>
    <t>diisikan di lingkungan kerja FIPP dan disertakan buktinya sesuai isian</t>
  </si>
  <si>
    <t>- Jumlah yang harus melaporkan (ASN tidak wajib LHKPN)</t>
  </si>
  <si>
    <t>- Pejabat administrator (eselon III)</t>
  </si>
  <si>
    <t>- Pejabat Penawas (eselon IV)</t>
  </si>
  <si>
    <t>- Jumlah Fungsional dan Pelaksana</t>
  </si>
  <si>
    <t>Upaya dan/atau Inovasi Pelayanan Publik</t>
  </si>
  <si>
    <t>Upaya dan/atau inovasi telah mendorong perbaikan pelayanan publik pada:
1. Kesesuaian Persyaratan
2. Kemudahan Sistem, Mekanisme, dan Prosedur
3. Kecepatan Waktu Penyelesaian
4. Kejelasan Biaya/Tarif, Gratis
5. Kualitas Produk Spesifikasi Jenis Pelayanan
6. Kompetensi Pelaksana/Web
7. Perilaku Pelaksana/Web
8. Kualitas Sarana dan prasarana
9. Penanganan Pengaduan, Saran dan Masukan</t>
  </si>
  <si>
    <t>a. Upaya dan/atau inovasi yang dilakukan telah mendorong perbaikan seluruh pelayanan publik yang prima (lebih Cepat dan mudah) 
b. Upaya dan/atau inovasi yang dilakukan belum seluruhnya memberikan dampak pada perbaikan pelayanan public yang prima (Cepat dan mudah) 
c. Upaya dan/atau inovasi yang dilakukan belum sesuai kebutuhan 
d. Belum ada inovasi</t>
  </si>
  <si>
    <t>Fakultas Ilmu Pendidikan dan Psikologi telah memiliki inovasi layanan berupa konseling sebaya yang dilaksanakan secara gratis untuk masyarakat yang saat ini sangat relevan dengan keadaan masyarakat saat ini. 
Fakultas Ilmu Pendidikan dan Psikologi juga memiliki inovasi dalam pelayanan sebagai bentuk peningkatan pelayanan untuk publik yaitu Print Free dan Aplikasi SUrvey Kepuasaan Pelayanan langsung setlah menerima pelayanan.
Pelayanan Print Free diperuntukan untuk seluruh mahasiswa pengguna layanan dengan aturan yang telah  ditetapkan. Selain itu aplikasi survey kepuasaan layanan langsung sebagai inovasi pelayanan publik.</t>
  </si>
  <si>
    <t xml:space="preserve">1. 
PRINT FREE FOR STUDENT
2. 
Dokumentasi Inovasi Survey Kepuasan Layanan FIPP 2025
3. 
MATRIKS INOVASI PELAYANAN PUBLIK
4. 
LAPORAN LAYANAN KONSELING SEBAYA 2024 BY PCC UNNES (2)
5. 
Flyer Layanan Konseling Teman Sebaya (2)
6. 
Link website Pendaftaran konseling di FIPP UNNES telah menggunakan website (2)
7. 
Inovasi Layanan Konseling Sebaya FIPP (2)
8. 
Surat Tugas Pengelola Inovasi Layanan (2)
9. 
Aplikasi Survey Kepuasan Layanan
10. 
DOKUMENTASI LAYANAN KONSELEING SEBAYA
</t>
  </si>
  <si>
    <t xml:space="preserve">1. 
https://inspirasidikti.kemdiktisaintek.go.id/unitku/zona-integritas/2026-2235/dokumen/PRINT FREE FOR STUDENT?file=2235-universitas-negeri-semarang/171-fakultas-ilmu-pendidikan/1771300954.pdf
2. 
https://inspirasidikti.kemdiktisaintek.go.id/unitku/zona-integritas/2026-2235/dokumen/Dokumentasi Inovasi Survey Kepuasan Layanan FIPP 2025?file=2235-universitas-negeri-semarang/171-fakultas-ilmu-pendidikan/1771300963.pdf
3. 
https://inspirasidikti.kemdiktisaintek.go.id/unitku/zona-integritas/2026-2235/dokumen/MATRIKS INOVASI PELAYANAN PUBLIK?file=2235-universitas-negeri-semarang/171-fakultas-ilmu-pendidikan/1771300970.pdf
4. 
https://inspirasidikti.kemdiktisaintek.go.id/unitku/zona-integritas/2026-2235/dokumen/LAPORAN LAYANAN KONSELING SEBAYA 2024 BY PCC UNNES (2)?file=2235-universitas-negeri-semarang/171-fakultas-ilmu-pendidikan/1771300978.pdf
5. 
https://inspirasidikti.kemdiktisaintek.go.id/unitku/zona-integritas/2026-2235/dokumen/Flyer Layanan Konseling Teman Sebaya (2)?file=2235-universitas-negeri-semarang/171-fakultas-ilmu-pendidikan/1771300988.pdf
6. 
https://inspirasidikti.kemdiktisaintek.go.id/unitku/zona-integritas/2026-2235/dokumen/Link website Pendaftaran konseling di FIPP UNNES telah menggunakan website (2)?file=2235-universitas-negeri-semarang/171-fakultas-ilmu-pendidikan/1771300996.pdf
7. 
https://inspirasidikti.kemdiktisaintek.go.id/unitku/zona-integritas/2026-2235/dokumen/Inovasi Layanan Konseling Sebaya FIPP (2)?file=2235-universitas-negeri-semarang/171-fakultas-ilmu-pendidikan/1771301005.pdf
8. 
https://inspirasidikti.kemdiktisaintek.go.id/unitku/zona-integritas/2026-2235/dokumen/Surat Tugas Pengelola Inovasi Layanan (2)?file=2235-universitas-negeri-semarang/171-fakultas-ilmu-pendidikan/1771301020.pdf
9. 
https://inspirasidikti.kemdiktisaintek.go.id/unitku/zona-integritas/2026-2235/dokumen/Aplikasi Survey Kepuasan Layanan?file=2235-universitas-negeri-semarang/171-fakultas-ilmu-pendidikan/1771301027.pdf
10. 
https://inspirasidikti.kemdiktisaintek.go.id/unitku/zona-integritas/2026-2235/dokumen/DOKUMENTASI LAYANAN KONSELEING SEBAYA?file=2235-universitas-negeri-semarang/171-fakultas-ilmu-pendidikan/1771301038.pdf
</t>
  </si>
  <si>
    <t>Upaya dan/atau inovasi pada perijinan/pelayanan telah dipermudah:
1. Waktu lebih cepat
2. Pelayanan Publik yang terpadu
3. Alur lebih pendek/singkat
4 Terintegrasi dengan aplikasi</t>
  </si>
  <si>
    <t>Persentase diperoleh dari Jumlah perijinan/pelayanan yang telah dipermudah dibagi dengan Jumlah perijinan/pelayanan yang terdata/terdaftar</t>
  </si>
  <si>
    <t>Fakultas Ilmu Pendidikan dan Psikologi melakukan upaya untuk mempermudah dan mempercepat perijinan dan pelayanan terdata dan terdaftar</t>
  </si>
  <si>
    <t xml:space="preserve">1. 
ALUR PELAYANAN LEBIH SINGKAT &amp; PENDEK
2. 
MATRIKS INOVASI PELAYANAN PERIJINAN
3. 
Tangkapan Layar Data Perijinan dan Pelayanan Tahun 2025
4. 
SISTEM PELAYANAN TERINTEGRASI PERIJINAN
5. 
DATA PERIJINAN DAN PELAYANAN TERDAFTAR (2)
6. 
TANGKAPAN LAYAR DATA PERIJINAN DAN PELAYANAN TAHUN 2026
</t>
  </si>
  <si>
    <t xml:space="preserve">1. 
https://inspirasidikti.kemdiktisaintek.go.id/unitku/zona-integritas/2026-2235/dokumen/ALUR PELAYANAN LEBIH SINGKAT &amp; PENDEK?file=2235-universitas-negeri-semarang/171-fakultas-ilmu-pendidikan/1771301189.pdf
2. 
https://inspirasidikti.kemdiktisaintek.go.id/unitku/zona-integritas/2026-2235/dokumen/MATRIKS INOVASI PELAYANAN PERIJINAN?file=2235-universitas-negeri-semarang/171-fakultas-ilmu-pendidikan/1771301196.pdf
3. 
https://inspirasidikti.kemdiktisaintek.go.id/unitku/zona-integritas/2026-2235/dokumen/Tangkapan Layar Data Perijinan dan Pelayanan Tahun 2025?file=2235-universitas-negeri-semarang/171-fakultas-ilmu-pendidikan/1771301202.pdf
4. 
https://inspirasidikti.kemdiktisaintek.go.id/unitku/zona-integritas/2026-2235/dokumen/SISTEM PELAYANAN TERINTEGRASI PERIJINAN?file=2235-universitas-negeri-semarang/171-fakultas-ilmu-pendidikan/1771301210.pdf
5. 
https://inspirasidikti.kemdiktisaintek.go.id/unitku/zona-integritas/2026-2235/dokumen/DATA PERIJINAN DAN PELAYANAN TERDAFTAR (2)?file=2235-universitas-negeri-semarang/171-fakultas-ilmu-pendidikan/1771301225.pdf
6. 
https://inspirasidikti.kemdiktisaintek.go.id/unitku/zona-integritas/2026-2235/dokumen/TANGKAPAN LAYAR DATA PERIJINAN DAN PELAYANAN TAHUN 2026?file=2235-universitas-negeri-semarang/171-fakultas-ilmu-pendidikan/1771552503.pdf
</t>
  </si>
  <si>
    <t>sudah ada dokumen inovasi perijinan dan pelayanan  yang telah dipermudah</t>
  </si>
  <si>
    <t>- Jumlah perijinan/pelayanan yang terdata/terdaftar</t>
  </si>
  <si>
    <t xml:space="preserve">- Jumlah perijinan/pelayanan yang telah dipermudah </t>
  </si>
  <si>
    <t>Penanganan Pengaduan Pelayanan dan Konsultasi</t>
  </si>
  <si>
    <t>Penanganan pengaduan pelayanan dilakukan melalui berbagai kanal/media secara responsive dan bertanggung jawab</t>
  </si>
  <si>
    <t>a. Pengaduan pelayanan  dan konsultasi telah direspon dengan cepat melalui berbagai kanal/media
b. Pengaduan pelayanan dan konsultasi telah direspon dengan cepat melalui kanal/media yang terbatas
c. Pengaduan pelayanan dan konsultasi direspon lambat melalui berbagai kanal/media
d. Pengaduan pelayanan dan konsultasi direspon lambat dan kanal/media terbatas</t>
  </si>
  <si>
    <t>Fakultas Ilmu Pendidikan dan Psikologi telah melakukan penanganan pengaduan dengan berbagai media website, instagram dan penanganan secara langsung</t>
  </si>
  <si>
    <t xml:space="preserve">1. 
Berita Laporan Pengaduan dan Evaluasi (2024)
2. 
LAPORA-1
3. 
Penanganan Evaluasi pengaduan langsung (2025)
4. 
Penanganan Evaluasi pengaduan langsung (2024)
5. 
pengaduan IG (1)
6. 
pengaduan web (2)
7. 
TIMADH-1
</t>
  </si>
  <si>
    <t xml:space="preserve">1. 
https://inspirasidikti.kemdiktisaintek.go.id/unitku/zona-integritas/2026-2235/dokumen/Berita Laporan Pengaduan dan Evaluasi (2024)?file=2235-universitas-negeri-semarang/171-fakultas-ilmu-pendidikan/1771301421.pdf
2. 
https://inspirasidikti.kemdiktisaintek.go.id/unitku/zona-integritas/2026-2235/dokumen/LAPORA-1?file=2235-universitas-negeri-semarang/171-fakultas-ilmu-pendidikan/1771301427.PDF
3. 
https://inspirasidikti.kemdiktisaintek.go.id/unitku/zona-integritas/2026-2235/dokumen/Penanganan Evaluasi pengaduan langsung (2025)?file=2235-universitas-negeri-semarang/171-fakultas-ilmu-pendidikan/1771301433.pdf
4. 
https://inspirasidikti.kemdiktisaintek.go.id/unitku/zona-integritas/2026-2235/dokumen/Penanganan Evaluasi pengaduan langsung (2024)?file=2235-universitas-negeri-semarang/171-fakultas-ilmu-pendidikan/1771301444.pdf
5. 
https://inspirasidikti.kemdiktisaintek.go.id/unitku/zona-integritas/2026-2235/dokumen/pengaduan IG (1)?file=2235-universitas-negeri-semarang/171-fakultas-ilmu-pendidikan/1771301453.pdf
6. 
https://inspirasidikti.kemdiktisaintek.go.id/unitku/zona-integritas/2026-2235/dokumen/pengaduan web (2)?file=2235-universitas-negeri-semarang/171-fakultas-ilmu-pendidikan/1771301460.pdf
7. 
https://inspirasidikti.kemdiktisaintek.go.id/unitku/zona-integritas/2026-2235/dokumen/TIMADH-1?file=2235-universitas-negeri-semarang/171-fakultas-ilmu-pendidikan/1771301467.PDF
</t>
  </si>
  <si>
    <t>penanganan pengaduan melalui berbagai kanal dan media perlu ditunjukkan bukti dokumen via web, instagram, medsos, publikasi dll</t>
  </si>
  <si>
    <t>TOTAL PENGUNGKIT</t>
  </si>
  <si>
    <t>B.</t>
  </si>
  <si>
    <t>HASIL</t>
  </si>
  <si>
    <t>BIROKRASI YANG BERSIH DAN AKUNTABEL</t>
  </si>
  <si>
    <t>Nilai Survey Persepsi Korupsi (Survei Eksternal)</t>
  </si>
  <si>
    <t>Diisi dengan nilai hasil Survei Eksternal atas Persepsi Anti Korupsi (Indeks Persepsi Anti Korupsi / IPAK)</t>
  </si>
  <si>
    <t>Nilai
(0-4)</t>
  </si>
  <si>
    <t>Capaian Kinerja Lebih Baik dari pada Capaian Kinerja Sebelumnya</t>
  </si>
  <si>
    <t xml:space="preserve">a. Target kinerja utama tercapai lebih dari 100% dan lebih baik dari capaian kinerja utama tahun sebelumnya serta lebih baik dari capaian kinerja nasional/rata-rata capaian kinerja unit yang sejenis;
b.Target kinerja utama tercapai 100% dan lebih baik dari capaian kinerja utama tahun sebelumnya;
c.Target kinerja utama tercapai 100% atau lebih, namun tidak lebih baik dari capaian kinerja utama tahun sebelumnya;
d. Kinerja utama sudah orientasi hasil akan tetapi masih terdapat target kinerja utama yang tidak tercapai;
e. Kinerja utama tidak berorientasi hasil
</t>
  </si>
  <si>
    <t>X</t>
  </si>
  <si>
    <t>PELAYANAN PUBLIK YANG PRIMA</t>
  </si>
  <si>
    <t>Nilai Persepsi Kualitas Pelayanan (Survei Eksternal)</t>
  </si>
  <si>
    <t>Diisi dengan Nilai Hasil Survei Eksternal Kualitas Pelayanan (Indeks Persepsi Kualitas Pelayanan Publik / IPKP)</t>
  </si>
  <si>
    <t>TOTAL HASIL</t>
  </si>
</sst>
</file>

<file path=xl/styles.xml><?xml version="1.0" encoding="utf-8"?>
<styleSheet xmlns="http://schemas.openxmlformats.org/spreadsheetml/2006/main" xml:space="preserve">
  <numFmts count="0"/>
  <fonts count="5">
    <font>
      <b val="0"/>
      <i val="0"/>
      <strike val="0"/>
      <u val="none"/>
      <sz val="11"/>
      <color rgb="FF000000"/>
      <name val="Calibri"/>
    </font>
    <font>
      <b val="1"/>
      <i val="0"/>
      <strike val="0"/>
      <u val="none"/>
      <sz val="11"/>
      <color rgb="FF000000"/>
      <name val="Calibri"/>
    </font>
    <font>
      <b val="1"/>
      <i val="0"/>
      <strike val="0"/>
      <u val="none"/>
      <sz val="11"/>
      <color rgb="FFFFFFFF"/>
      <name val="Calibri"/>
    </font>
    <font>
      <b val="1"/>
      <i val="0"/>
      <strike val="0"/>
      <u val="single"/>
      <sz val="11"/>
      <color rgb="FF0000FF"/>
      <name val="Calibri"/>
    </font>
    <font>
      <b val="0"/>
      <i val="0"/>
      <strike val="0"/>
      <u val="single"/>
      <sz val="11"/>
      <color rgb="FF0000FF"/>
      <name val="Calibri"/>
    </font>
  </fonts>
  <fills count="10">
    <fill>
      <patternFill patternType="none"/>
    </fill>
    <fill>
      <patternFill patternType="gray125"/>
    </fill>
    <fill>
      <patternFill patternType="solid">
        <fgColor rgb="FFADB9CA"/>
        <bgColor rgb="FFADB9CA"/>
      </patternFill>
    </fill>
    <fill>
      <patternFill patternType="solid">
        <fgColor rgb="FF44546A"/>
        <bgColor rgb="FF44546A"/>
      </patternFill>
    </fill>
    <fill>
      <patternFill patternType="solid">
        <fgColor rgb="FFDEEAF6"/>
        <bgColor rgb="FFDEEAF6"/>
      </patternFill>
    </fill>
    <fill>
      <patternFill patternType="solid">
        <fgColor rgb="FF8496B0"/>
        <bgColor rgb="FF8496B0"/>
      </patternFill>
    </fill>
    <fill>
      <patternFill patternType="solid">
        <fgColor rgb="FFD7DBE4"/>
        <bgColor rgb="FFD7DBE4"/>
      </patternFill>
    </fill>
    <fill>
      <patternFill patternType="solid">
        <fgColor rgb="FFFEF2CB"/>
        <bgColor rgb="FFFEF2CB"/>
      </patternFill>
    </fill>
    <fill>
      <patternFill patternType="solid">
        <fgColor rgb="FFFFB900"/>
        <bgColor rgb="FFFFB900"/>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3">
    <xf xfId="0" fontId="0" numFmtId="0" fillId="0" borderId="0" applyFont="0" applyNumberFormat="0" applyFill="0" applyBorder="0" applyAlignment="1">
      <alignment vertical="bottom" textRotation="0" wrapText="true" shrinkToFit="false"/>
    </xf>
    <xf xfId="0" fontId="1" numFmtId="0" fillId="0" borderId="0" applyFont="1" applyNumberFormat="0" applyFill="0" applyBorder="0" applyAlignment="1">
      <alignment vertical="bottom" textRotation="0" wrapText="true" shrinkToFit="false"/>
    </xf>
    <xf xfId="0" fontId="1" numFmtId="0" fillId="2" borderId="0" applyFont="1" applyNumberFormat="0" applyFill="1" applyBorder="0" applyAlignment="1">
      <alignment vertical="bottom" textRotation="0" wrapText="true" shrinkToFit="false"/>
    </xf>
    <xf xfId="0" fontId="2" numFmtId="0" fillId="0" borderId="0" applyFont="1" applyNumberFormat="0" applyFill="0" applyBorder="0" applyAlignment="1">
      <alignment vertical="bottom" textRotation="0" wrapText="true" shrinkToFit="false"/>
    </xf>
    <xf xfId="0" fontId="2" numFmtId="0" fillId="3" borderId="0" applyFont="1" applyNumberFormat="0" applyFill="1" applyBorder="0" applyAlignment="1">
      <alignment horizontal="center" vertical="top" textRotation="0" wrapText="true" shrinkToFit="false"/>
    </xf>
    <xf xfId="0" fontId="2" numFmtId="0" fillId="0" borderId="0" applyFont="1" applyNumberFormat="0" applyFill="0" applyBorder="0" applyAlignment="1">
      <alignment vertical="top" textRotation="0" wrapText="true" shrinkToFit="false"/>
    </xf>
    <xf xfId="0" fontId="0" numFmtId="0" fillId="0" borderId="0" applyFont="0" applyNumberFormat="0" applyFill="0" applyBorder="0" applyAlignment="1">
      <alignment vertical="top" textRotation="0" wrapText="true" shrinkToFit="false"/>
    </xf>
    <xf xfId="0" fontId="2" numFmtId="0" fillId="4" borderId="0" applyFont="1" applyNumberFormat="0" applyFill="1" applyBorder="0" applyAlignment="1">
      <alignment vertical="top" textRotation="0" wrapText="true" shrinkToFit="false"/>
    </xf>
    <xf xfId="0" fontId="0" numFmtId="0" fillId="4" borderId="0" applyFont="0" applyNumberFormat="0" applyFill="1" applyBorder="0" applyAlignment="1">
      <alignment vertical="top" textRotation="0" wrapText="true" shrinkToFit="false"/>
    </xf>
    <xf xfId="0" fontId="2" numFmtId="0" fillId="3" borderId="0" applyFont="1" applyNumberFormat="0" applyFill="1" applyBorder="0" applyAlignment="1">
      <alignment horizontal="center" vertical="center" textRotation="0" wrapText="true" shrinkToFit="false"/>
    </xf>
    <xf xfId="0" fontId="2" numFmtId="0" fillId="0" borderId="0" applyFont="1" applyNumberFormat="0" applyFill="0" applyBorder="0" applyAlignment="1">
      <alignment horizontal="center" vertical="center" textRotation="0" wrapText="true" shrinkToFit="false"/>
    </xf>
    <xf xfId="0" fontId="0" numFmtId="0" fillId="0" borderId="0" applyFont="0" applyNumberFormat="0" applyFill="0" applyBorder="0" applyAlignment="1">
      <alignment horizontal="center" vertical="center" textRotation="0" wrapText="true" shrinkToFit="false"/>
    </xf>
    <xf xfId="0" fontId="2" numFmtId="0" fillId="4" borderId="0" applyFont="1" applyNumberFormat="0" applyFill="1" applyBorder="0" applyAlignment="1">
      <alignment horizontal="center" vertical="center" textRotation="0" wrapText="true" shrinkToFit="false"/>
    </xf>
    <xf xfId="0" fontId="0" numFmtId="0" fillId="4" borderId="0" applyFont="0" applyNumberFormat="0" applyFill="1" applyBorder="0" applyAlignment="1">
      <alignment horizontal="center" vertical="center" textRotation="0" wrapText="true" shrinkToFit="false"/>
    </xf>
    <xf xfId="0" fontId="3" numFmtId="0" fillId="4" borderId="0" applyFont="1" applyNumberFormat="0" applyFill="1" applyBorder="0" applyAlignment="1">
      <alignment vertical="top" textRotation="0" wrapText="true" shrinkToFit="false"/>
    </xf>
    <xf xfId="0" fontId="4" numFmtId="0" fillId="4" borderId="0" applyFont="1" applyNumberFormat="0" applyFill="1" applyBorder="0" applyAlignment="1">
      <alignment vertical="top" textRotation="0" wrapText="true" shrinkToFit="false"/>
    </xf>
    <xf xfId="0" fontId="2" numFmtId="0" fillId="3" borderId="1" applyFont="1" applyNumberFormat="0" applyFill="1" applyBorder="1" applyAlignment="1">
      <alignment horizontal="center" vertical="top" textRotation="0" wrapText="true" shrinkToFit="false"/>
    </xf>
    <xf xfId="0" fontId="2" numFmtId="0" fillId="3" borderId="1" applyFont="1" applyNumberFormat="0" applyFill="1" applyBorder="1" applyAlignment="1">
      <alignment vertical="top" textRotation="0" wrapText="true" shrinkToFit="false"/>
    </xf>
    <xf xfId="0" fontId="2" numFmtId="0" fillId="3" borderId="1" applyFont="1" applyNumberFormat="0" applyFill="1" applyBorder="1" applyAlignment="1">
      <alignment horizontal="center" vertical="center" textRotation="0" wrapText="true" shrinkToFit="false"/>
    </xf>
    <xf xfId="0" fontId="1" numFmtId="0" fillId="5" borderId="1" applyFont="1" applyNumberFormat="0" applyFill="1" applyBorder="1" applyAlignment="1">
      <alignment vertical="top" textRotation="0" wrapText="true" shrinkToFit="false"/>
    </xf>
    <xf xfId="0" fontId="1" numFmtId="0" fillId="2" borderId="1" applyFont="1" applyNumberFormat="0" applyFill="1" applyBorder="1" applyAlignment="1">
      <alignment vertical="top" textRotation="0" wrapText="true" shrinkToFit="false"/>
    </xf>
    <xf xfId="0" fontId="1" numFmtId="0" fillId="6" borderId="1" applyFont="1" applyNumberFormat="0" applyFill="1" applyBorder="1" applyAlignment="1">
      <alignment vertical="top" textRotation="0" wrapText="true" shrinkToFit="false"/>
    </xf>
    <xf xfId="0" fontId="1" numFmtId="0" fillId="7" borderId="1" applyFont="1" applyNumberFormat="0" applyFill="1" applyBorder="1" applyAlignment="1">
      <alignment vertical="top" textRotation="0" wrapText="true" shrinkToFit="false"/>
    </xf>
    <xf xfId="0" fontId="0" numFmtId="0" fillId="0" borderId="1" applyFont="0" applyNumberFormat="0" applyFill="0" applyBorder="1" applyAlignment="1">
      <alignment vertical="top" textRotation="0" wrapText="true" shrinkToFit="false"/>
    </xf>
    <xf xfId="0" fontId="1" numFmtId="0" fillId="5" borderId="1" applyFont="1" applyNumberFormat="0" applyFill="1" applyBorder="1" applyAlignment="1">
      <alignment horizontal="center" vertical="center" textRotation="0" wrapText="true" shrinkToFit="false"/>
    </xf>
    <xf xfId="0" fontId="1" numFmtId="0" fillId="2" borderId="1" applyFont="1" applyNumberFormat="0" applyFill="1" applyBorder="1" applyAlignment="1">
      <alignment horizontal="center" vertical="center" textRotation="0" wrapText="true" shrinkToFit="false"/>
    </xf>
    <xf xfId="0" fontId="1" numFmtId="0" fillId="6" borderId="1" applyFont="1" applyNumberFormat="0" applyFill="1" applyBorder="1" applyAlignment="1">
      <alignment horizontal="center" vertical="center" textRotation="0" wrapText="true" shrinkToFit="false"/>
    </xf>
    <xf xfId="0" fontId="1" numFmtId="0" fillId="7" borderId="1" applyFont="1" applyNumberFormat="0" applyFill="1" applyBorder="1" applyAlignment="1">
      <alignment horizontal="center" vertical="center" textRotation="0" wrapText="true" shrinkToFit="false"/>
    </xf>
    <xf xfId="0" fontId="0" numFmtId="0" fillId="0" borderId="1" applyFont="0" applyNumberFormat="0" applyFill="0" applyBorder="1" applyAlignment="1">
      <alignment horizontal="center" vertical="center" textRotation="0" wrapText="true" shrinkToFit="false"/>
    </xf>
    <xf xfId="0" fontId="0" numFmtId="0" fillId="4" borderId="1" applyFont="0" applyNumberFormat="0" applyFill="1" applyBorder="1" applyAlignment="1">
      <alignment horizontal="center" vertical="center" textRotation="0" wrapText="true" shrinkToFit="false"/>
    </xf>
    <xf xfId="0" fontId="0" numFmtId="0" fillId="4" borderId="1" applyFont="0" applyNumberFormat="0" applyFill="1" applyBorder="1" applyAlignment="1">
      <alignment vertical="top" textRotation="0" wrapText="true" shrinkToFit="false"/>
    </xf>
    <xf xfId="0" fontId="3" numFmtId="0" fillId="5" borderId="1" applyFont="1" applyNumberFormat="0" applyFill="1" applyBorder="1" applyAlignment="1">
      <alignment vertical="top" textRotation="0" wrapText="true" shrinkToFit="false"/>
    </xf>
    <xf xfId="0" fontId="3" numFmtId="0" fillId="2" borderId="1" applyFont="1" applyNumberFormat="0" applyFill="1" applyBorder="1" applyAlignment="1">
      <alignment vertical="top" textRotation="0" wrapText="true" shrinkToFit="false"/>
    </xf>
    <xf xfId="0" fontId="3" numFmtId="0" fillId="6" borderId="1" applyFont="1" applyNumberFormat="0" applyFill="1" applyBorder="1" applyAlignment="1">
      <alignment vertical="top" textRotation="0" wrapText="true" shrinkToFit="false"/>
    </xf>
    <xf xfId="0" fontId="3" numFmtId="0" fillId="7" borderId="1" applyFont="1" applyNumberFormat="0" applyFill="1" applyBorder="1" applyAlignment="1">
      <alignment vertical="top" textRotation="0" wrapText="true" shrinkToFit="false"/>
    </xf>
    <xf xfId="0" fontId="4" numFmtId="0" fillId="4" borderId="1" applyFont="1" applyNumberFormat="0" applyFill="1" applyBorder="1" applyAlignment="1">
      <alignment vertical="top" textRotation="0" wrapText="true" shrinkToFit="false"/>
    </xf>
    <xf xfId="0" fontId="0" numFmtId="0" fillId="0" borderId="1" applyFont="0" applyNumberFormat="0" applyFill="0" applyBorder="1" applyAlignment="1">
      <alignment horizontal="center" vertical="top" textRotation="0" wrapText="true" shrinkToFit="false"/>
    </xf>
    <xf xfId="0" fontId="1" numFmtId="0" fillId="2" borderId="1" applyFont="1" applyNumberFormat="0" applyFill="1" applyBorder="1" applyAlignment="1">
      <alignment horizontal="center" vertical="top" textRotation="0" wrapText="true" shrinkToFit="false"/>
    </xf>
    <xf xfId="0" fontId="0" numFmtId="0" fillId="0" borderId="0" applyFont="0" applyNumberFormat="0" applyFill="0" applyBorder="0" applyAlignment="1">
      <alignment horizontal="center" vertical="top" textRotation="0" wrapText="true" shrinkToFit="false"/>
    </xf>
    <xf xfId="0" fontId="1" numFmtId="0" fillId="8" borderId="1" applyFont="1" applyNumberFormat="0" applyFill="1" applyBorder="1" applyAlignment="1">
      <alignment horizontal="center" vertical="top" textRotation="0" wrapText="true" shrinkToFit="false"/>
    </xf>
    <xf xfId="0" fontId="1" numFmtId="0" fillId="8" borderId="1" applyFont="1" applyNumberFormat="0" applyFill="1" applyBorder="1" applyAlignment="1">
      <alignment horizontal="center" vertical="center" textRotation="0" wrapText="true" shrinkToFit="false"/>
    </xf>
    <xf xfId="0" fontId="0" numFmtId="0" fillId="9" borderId="1" applyFont="0" applyNumberFormat="0" applyFill="1" applyBorder="1" applyAlignment="1">
      <alignment vertical="top" textRotation="0" wrapText="true" shrinkToFit="false"/>
    </xf>
    <xf xfId="0" fontId="0" numFmtId="0" fillId="9" borderId="0" applyFont="0" applyNumberFormat="0" applyFill="1" applyBorder="0" applyAlignment="1">
      <alignment vertical="top" textRotation="0" wrapText="true" shrinkToFit="false"/>
    </xf>
    <xf xfId="0" fontId="0" numFmtId="0" fillId="9" borderId="1" applyFont="0" applyNumberFormat="0" applyFill="1" applyBorder="1" applyAlignment="1">
      <alignment horizontal="center" vertical="center" textRotation="0" wrapText="true" shrinkToFit="false"/>
    </xf>
    <xf xfId="0" fontId="0" numFmtId="0" fillId="9" borderId="0" applyFont="0" applyNumberFormat="0" applyFill="1" applyBorder="0" applyAlignment="1">
      <alignment horizontal="center" vertical="center" textRotation="0" wrapText="true" shrinkToFit="false"/>
    </xf>
    <xf xfId="0" fontId="0" numFmtId="0" fillId="9" borderId="0" applyFont="0" applyNumberFormat="0" applyFill="1" applyBorder="0" applyAlignment="1">
      <alignment vertical="bottom" textRotation="0" wrapText="true" shrinkToFit="false"/>
    </xf>
    <xf xfId="0" fontId="4" numFmtId="0" fillId="9" borderId="1" applyFont="1" applyNumberFormat="0" applyFill="1" applyBorder="1" applyAlignment="1">
      <alignment vertical="top" textRotation="0" wrapText="true" shrinkToFit="false"/>
    </xf>
    <xf xfId="0" fontId="4" numFmtId="0" fillId="9" borderId="0" applyFont="1" applyNumberFormat="0" applyFill="1" applyBorder="0" applyAlignment="1">
      <alignment vertical="top" textRotation="0" wrapText="true" shrinkToFit="false"/>
    </xf>
    <xf xfId="0" fontId="0" numFmtId="0" fillId="9" borderId="1" applyFont="0" applyNumberFormat="0" applyFill="1" applyBorder="1" applyAlignment="1">
      <alignment horizontal="center" vertical="top" textRotation="0" wrapText="true" shrinkToFit="false"/>
    </xf>
    <xf xfId="0" fontId="0" numFmtId="0" fillId="9" borderId="0" applyFont="0" applyNumberFormat="0" applyFill="1" applyBorder="0" applyAlignment="1">
      <alignment horizontal="center" vertical="top" textRotation="0" wrapText="true" shrinkToFit="false"/>
    </xf>
    <xf xfId="0" fontId="1" numFmtId="0" fillId="9" borderId="1" applyFont="1" applyNumberFormat="0" applyFill="1" applyBorder="1" applyAlignment="1">
      <alignment horizontal="center" vertical="top" textRotation="0" wrapText="true" shrinkToFit="false"/>
    </xf>
    <xf xfId="0" fontId="1" numFmtId="0" fillId="9" borderId="1" applyFont="1" applyNumberFormat="0" applyFill="1" applyBorder="1" applyAlignment="1">
      <alignment vertical="top" textRotation="0" wrapText="true" shrinkToFit="false"/>
    </xf>
    <xf xfId="0" fontId="1" numFmtId="0" fillId="9" borderId="1" applyFont="1" applyNumberFormat="0" applyFill="1" applyBorder="1"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inspirasidikti.kemdiktisaintek.go.id/unitku/zona-integritas/2026-2235/dokumen/Dokumentasi Pembentukan Tim ZI?file=2235-universitas-negeri-semarang/171-fakultas-ilmu-pendidikan/1770953282.pdf" TargetMode="External"/><Relationship Id="rId_hyperlink_2" Type="http://schemas.openxmlformats.org/officeDocument/2006/relationships/hyperlink" Target="https://inspirasidikti.kemdiktisaintek.go.id/unitku/zona-integritas/2026-2235/dokumen/Dokumentasi Monev Pelaksanaan Kegiatan WBK?file=2235-universitas-negeri-semarang/171-fakultas-ilmu-pendidikan/1770953873.pdf" TargetMode="External"/><Relationship Id="rId_hyperlink_3" Type="http://schemas.openxmlformats.org/officeDocument/2006/relationships/hyperlink" Target="https://inspirasidikti.kemdiktisaintek.go.id/unitku/zona-integritas/2026-2235/dokumen/Dokumentasi apel pagi yang dipimpin oleh pimpinan Fakultas Ilmu Pendidikan dan Psikologi?file=2235-universitas-negeri-semarang/171-fakultas-ilmu-pendidikan/1770953923.pdf" TargetMode="External"/><Relationship Id="rId_hyperlink_4" Type="http://schemas.openxmlformats.org/officeDocument/2006/relationships/hyperlink" Target="https://inspirasidikti.kemdiktisaintek.go.id/unitku/zona-integritas/2026-2235/dokumen/LAPORAN AKHIR HASIL KEGIATAN PEMBANGUNAN ZI DI FIPP UNNES (1)?file=2235-universitas-negeri-semarang/171-fakultas-ilmu-pendidikan/1770954281.pdf" TargetMode="External"/><Relationship Id="rId_hyperlink_5" Type="http://schemas.openxmlformats.org/officeDocument/2006/relationships/hyperlink" Target="https://inspirasidikti.kemdiktisaintek.go.id/unitku/zona-integritas/2026-2235/dokumen/LAPORAN  WBS  2026.1.?file=2235-universitas-negeri-semarang/171-fakultas-ilmu-pendidikan/1770961126.pdf" TargetMode="External"/><Relationship Id="rId_hyperlink_6" Type="http://schemas.openxmlformats.org/officeDocument/2006/relationships/hyperlink" Target="https://inspirasidikti.kemdiktisaintek.go.id/unitku/zona-integritas/2026-2235/dokumen/laporan tindak lanjut WBS?file=2235-universitas-negeri-semarang/171-fakultas-ilmu-pendidikan/1770961505.pdf" TargetMode="External"/><Relationship Id="rId_hyperlink_7" Type="http://schemas.openxmlformats.org/officeDocument/2006/relationships/hyperlink" Target="https://inspirasidikti.kemdiktisaintek.go.id/unitku/zona-integritas/2026-2235/dokumen/Mesin presensi online?file=2235-universitas-negeri-semarang/171-fakultas-ilmu-pendidikan/1770954908.pdf" TargetMode="External"/><Relationship Id="rId_hyperlink_8" Type="http://schemas.openxmlformats.org/officeDocument/2006/relationships/hyperlink" Target="https://inspirasidikti.kemdiktisaintek.go.id/unitku/zona-integritas/2026-2235/dokumen/Bukti Laporan LHKPN pada link di bawah ini?file=2235-universitas-negeri-semarang/171-fakultas-ilmu-pendidikan/1771577873.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N205"/>
  <sheetViews>
    <sheetView tabSelected="1" workbookViewId="0" showGridLines="true" showRowColHeaders="1">
      <selection activeCell="Q183" sqref="Q183"/>
    </sheetView>
  </sheetViews>
  <sheetFormatPr defaultRowHeight="14.4" outlineLevelRow="0" outlineLevelCol="0"/>
  <cols>
    <col min="1" max="1" width="0" customWidth="true" style="0"/>
    <col min="2" max="2" width="3.15" customWidth="true" style="6"/>
    <col min="3" max="3" width="2.8" customWidth="true" style="6"/>
    <col min="4" max="4" width="2.5" customWidth="true" style="6"/>
    <col min="5" max="5" width="4" customWidth="true" style="6"/>
    <col min="6" max="6" width="2.7" customWidth="true" style="6"/>
    <col min="7" max="7" width="47.57" customWidth="true" style="6"/>
    <col min="8" max="8" width="7.15" customWidth="true" style="11"/>
    <col min="9" max="9" width="55.3" customWidth="true" style="6"/>
    <col min="10" max="10" width="19" customWidth="true" style="11"/>
    <col min="11" max="11" width="21.14" customWidth="true" style="13"/>
    <col min="12" max="12" width="10.14" customWidth="true" style="11"/>
    <col min="13" max="13" width="10.15" customWidth="true" style="11"/>
    <col min="14" max="14" width="8.14" customWidth="true" style="0"/>
    <col min="15" max="15" width="40.3" customWidth="true" style="8"/>
    <col min="16" max="16" width="40.3" customWidth="true" style="8"/>
    <col min="17" max="17" width="40.3" customWidth="true" style="15"/>
    <col min="19" max="19" width="7.15" customWidth="true" style="38"/>
    <col min="20" max="20" width="19" customWidth="true" style="11"/>
    <col min="21" max="21" width="21.14" customWidth="true" style="11"/>
    <col min="22" max="22" width="10.14" customWidth="true" style="11"/>
    <col min="23" max="23" width="10.15" customWidth="true" style="11"/>
    <col min="24" max="24" width="40.3" customWidth="true" style="38"/>
    <col min="27" max="27" width="7.15" customWidth="true" style="38"/>
    <col min="28" max="28" width="19" customWidth="true" style="11"/>
    <col min="29" max="29" width="21.14" customWidth="true" style="11"/>
    <col min="30" max="30" width="10.14" customWidth="true" style="11"/>
    <col min="31" max="31" width="10.15" customWidth="true" style="11"/>
    <col min="32" max="32" width="40.3" customWidth="true" style="38"/>
    <col min="35" max="35" width="7.15" customWidth="true" style="38"/>
    <col min="36" max="36" width="19" customWidth="true" style="11"/>
    <col min="37" max="37" width="21.14" customWidth="true" style="11"/>
    <col min="38" max="38" width="10.14" customWidth="true" style="11"/>
    <col min="39" max="39" width="10.15" customWidth="true" style="11"/>
    <col min="40" max="40" width="40.3" customWidth="true" style="38"/>
  </cols>
  <sheetData>
    <row r="1" spans="1:40">
      <c r="B1" s="16" t="s">
        <v>0</v>
      </c>
      <c r="C1" s="17"/>
      <c r="D1" s="17"/>
      <c r="E1" s="17"/>
      <c r="F1" s="17"/>
      <c r="G1" s="17"/>
      <c r="H1" s="18" t="s">
        <v>1</v>
      </c>
      <c r="I1" s="16" t="s">
        <v>2</v>
      </c>
      <c r="J1" s="18" t="s">
        <v>3</v>
      </c>
      <c r="K1" s="18" t="s">
        <v>4</v>
      </c>
      <c r="L1" s="18" t="s">
        <v>5</v>
      </c>
      <c r="M1" s="18" t="s">
        <v>6</v>
      </c>
      <c r="N1" s="3"/>
      <c r="O1" s="16" t="s">
        <v>7</v>
      </c>
      <c r="P1" s="16" t="s">
        <v>8</v>
      </c>
      <c r="Q1" s="16" t="s">
        <v>9</v>
      </c>
      <c r="R1" s="3"/>
      <c r="S1" s="39" t="s">
        <v>10</v>
      </c>
      <c r="T1" s="40"/>
      <c r="U1" s="40"/>
      <c r="V1" s="40"/>
      <c r="W1" s="40"/>
      <c r="X1" s="39"/>
      <c r="Y1" s="3"/>
      <c r="Z1" s="3"/>
      <c r="AA1" s="39" t="s">
        <v>11</v>
      </c>
      <c r="AB1" s="40"/>
      <c r="AC1" s="40"/>
      <c r="AD1" s="40"/>
      <c r="AE1" s="40"/>
      <c r="AF1" s="39"/>
      <c r="AG1" s="3"/>
      <c r="AH1" s="3"/>
      <c r="AI1" s="39" t="s">
        <v>12</v>
      </c>
      <c r="AJ1" s="40"/>
      <c r="AK1" s="40"/>
      <c r="AL1" s="40"/>
      <c r="AM1" s="40"/>
      <c r="AN1" s="39"/>
    </row>
    <row r="2" spans="1:40">
      <c r="B2" s="5"/>
      <c r="C2" s="5"/>
      <c r="D2" s="5"/>
      <c r="E2" s="5"/>
      <c r="F2" s="5"/>
      <c r="G2" s="5"/>
      <c r="H2" s="10"/>
      <c r="I2" s="5"/>
      <c r="J2" s="10"/>
      <c r="K2" s="12"/>
      <c r="L2" s="10"/>
      <c r="M2" s="10"/>
      <c r="N2" s="3"/>
      <c r="O2" s="7"/>
      <c r="P2" s="7"/>
      <c r="Q2" s="14"/>
      <c r="R2" s="3"/>
      <c r="S2" s="4" t="s">
        <v>1</v>
      </c>
      <c r="T2" s="9" t="s">
        <v>3</v>
      </c>
      <c r="U2" s="9" t="s">
        <v>4</v>
      </c>
      <c r="V2" s="9" t="s">
        <v>5</v>
      </c>
      <c r="W2" s="9" t="s">
        <v>6</v>
      </c>
      <c r="X2" s="4" t="s">
        <v>7</v>
      </c>
      <c r="Y2" s="3"/>
      <c r="Z2" s="3"/>
      <c r="AA2" s="4" t="s">
        <v>1</v>
      </c>
      <c r="AB2" s="9" t="s">
        <v>3</v>
      </c>
      <c r="AC2" s="9" t="s">
        <v>4</v>
      </c>
      <c r="AD2" s="9" t="s">
        <v>5</v>
      </c>
      <c r="AE2" s="9" t="s">
        <v>6</v>
      </c>
      <c r="AF2" s="4" t="s">
        <v>7</v>
      </c>
      <c r="AG2" s="3"/>
      <c r="AH2" s="3"/>
      <c r="AI2" s="4" t="s">
        <v>1</v>
      </c>
      <c r="AJ2" s="9" t="s">
        <v>3</v>
      </c>
      <c r="AK2" s="9" t="s">
        <v>4</v>
      </c>
      <c r="AL2" s="9" t="s">
        <v>5</v>
      </c>
      <c r="AM2" s="9" t="s">
        <v>6</v>
      </c>
      <c r="AN2" s="4" t="s">
        <v>7</v>
      </c>
    </row>
    <row r="3" spans="1:40">
      <c r="B3" s="19" t="s">
        <v>13</v>
      </c>
      <c r="C3" s="19" t="s">
        <v>14</v>
      </c>
      <c r="D3" s="19"/>
      <c r="E3" s="19"/>
      <c r="F3" s="19"/>
      <c r="G3" s="19"/>
      <c r="H3" s="24">
        <v>60</v>
      </c>
      <c r="I3" s="19"/>
      <c r="J3" s="24"/>
      <c r="K3" s="24"/>
      <c r="L3" s="24" t="str">
        <f>SUM(L4,L124)</f>
        <v>0</v>
      </c>
      <c r="M3" s="24" t="str">
        <f>L3/H3</f>
        <v>0</v>
      </c>
      <c r="N3" s="1"/>
      <c r="O3" s="19"/>
      <c r="P3" s="19"/>
      <c r="Q3" s="31"/>
      <c r="R3"/>
      <c r="S3" s="36">
        <v>60</v>
      </c>
      <c r="T3" s="28"/>
      <c r="U3" s="28"/>
      <c r="V3" s="28" t="str">
        <f>SUM(V4,V124)</f>
        <v>0</v>
      </c>
      <c r="W3" s="28" t="str">
        <f>V3/S3</f>
        <v>0</v>
      </c>
      <c r="X3" s="36"/>
      <c r="Y3"/>
      <c r="Z3"/>
      <c r="AA3" s="36">
        <v>60</v>
      </c>
      <c r="AB3" s="28"/>
      <c r="AC3" s="28"/>
      <c r="AD3" s="28" t="str">
        <f>SUM(AD4,AD124)</f>
        <v>0</v>
      </c>
      <c r="AE3" s="28" t="str">
        <f>AD3/AA3</f>
        <v>0</v>
      </c>
      <c r="AF3" s="36"/>
      <c r="AG3"/>
      <c r="AH3"/>
      <c r="AI3" s="36">
        <v>60</v>
      </c>
      <c r="AJ3" s="28"/>
      <c r="AK3" s="28"/>
      <c r="AL3" s="28" t="str">
        <f>SUM(AL4,AL124)</f>
        <v>0</v>
      </c>
      <c r="AM3" s="28" t="str">
        <f>AL3/AI3</f>
        <v>0</v>
      </c>
      <c r="AN3" s="36"/>
    </row>
    <row r="4" spans="1:40">
      <c r="B4" s="20"/>
      <c r="C4" s="20" t="s">
        <v>15</v>
      </c>
      <c r="D4" s="20" t="s">
        <v>16</v>
      </c>
      <c r="E4" s="20"/>
      <c r="F4" s="20"/>
      <c r="G4" s="20"/>
      <c r="H4" s="25">
        <v>30</v>
      </c>
      <c r="I4" s="20"/>
      <c r="J4" s="25"/>
      <c r="K4" s="25"/>
      <c r="L4" s="25" t="str">
        <f>SUM(L5,L22,L35,L60,L74,L99)</f>
        <v>0</v>
      </c>
      <c r="M4" s="25" t="str">
        <f>L4/H4</f>
        <v>0</v>
      </c>
      <c r="N4" s="1"/>
      <c r="O4" s="20"/>
      <c r="P4" s="20"/>
      <c r="Q4" s="32"/>
      <c r="R4"/>
      <c r="S4" s="36">
        <v>30</v>
      </c>
      <c r="T4" s="28"/>
      <c r="U4" s="28"/>
      <c r="V4" s="28" t="str">
        <f>SUM(V5,V22,V35,V60,V74,V99)</f>
        <v>0</v>
      </c>
      <c r="W4" s="28" t="str">
        <f>V4/S4</f>
        <v>0</v>
      </c>
      <c r="X4" s="36"/>
      <c r="Y4"/>
      <c r="Z4"/>
      <c r="AA4" s="36">
        <v>30</v>
      </c>
      <c r="AB4" s="28"/>
      <c r="AC4" s="28"/>
      <c r="AD4" s="28" t="str">
        <f>SUM(AD5,AD22,AD35,AD60,AD74,AD99)</f>
        <v>0</v>
      </c>
      <c r="AE4" s="28" t="str">
        <f>AD4/AA4</f>
        <v>0</v>
      </c>
      <c r="AF4" s="36"/>
      <c r="AG4"/>
      <c r="AH4"/>
      <c r="AI4" s="36">
        <v>30</v>
      </c>
      <c r="AJ4" s="28"/>
      <c r="AK4" s="28"/>
      <c r="AL4" s="28" t="str">
        <f>SUM(AL5,AL22,AL35,AL60,AL74,AL99)</f>
        <v>0</v>
      </c>
      <c r="AM4" s="28" t="str">
        <f>AL4/AI4</f>
        <v>0</v>
      </c>
      <c r="AN4" s="36"/>
    </row>
    <row r="5" spans="1:40">
      <c r="B5" s="21"/>
      <c r="C5" s="21"/>
      <c r="D5" s="21">
        <v>1.0</v>
      </c>
      <c r="E5" s="21" t="s">
        <v>17</v>
      </c>
      <c r="F5" s="21"/>
      <c r="G5" s="21"/>
      <c r="H5" s="26">
        <v>4</v>
      </c>
      <c r="I5" s="21"/>
      <c r="J5" s="26"/>
      <c r="K5" s="26"/>
      <c r="L5" s="26" t="str">
        <f>SUM(L6,L9,L13,L17)</f>
        <v>0</v>
      </c>
      <c r="M5" s="26" t="str">
        <f>L5/H5</f>
        <v>0</v>
      </c>
      <c r="N5" s="1"/>
      <c r="O5" s="21"/>
      <c r="P5" s="21"/>
      <c r="Q5" s="33"/>
      <c r="R5"/>
      <c r="S5" s="36">
        <v>4</v>
      </c>
      <c r="T5" s="28"/>
      <c r="U5" s="28"/>
      <c r="V5" s="28" t="str">
        <f>SUM(V6,V9,V13,V17)</f>
        <v>0</v>
      </c>
      <c r="W5" s="28" t="str">
        <f>V5/S5</f>
        <v>0</v>
      </c>
      <c r="X5" s="36"/>
      <c r="Y5"/>
      <c r="Z5"/>
      <c r="AA5" s="36">
        <v>4</v>
      </c>
      <c r="AB5" s="28"/>
      <c r="AC5" s="28"/>
      <c r="AD5" s="28" t="str">
        <f>SUM(AD6,AD9,AD13,AD17)</f>
        <v>0</v>
      </c>
      <c r="AE5" s="28" t="str">
        <f>AD5/AA5</f>
        <v>0</v>
      </c>
      <c r="AF5" s="36"/>
      <c r="AG5"/>
      <c r="AH5"/>
      <c r="AI5" s="36">
        <v>4</v>
      </c>
      <c r="AJ5" s="28"/>
      <c r="AK5" s="28"/>
      <c r="AL5" s="28" t="str">
        <f>SUM(AL6,AL9,AL13,AL17)</f>
        <v>0</v>
      </c>
      <c r="AM5" s="28" t="str">
        <f>AL5/AI5</f>
        <v>0</v>
      </c>
      <c r="AN5" s="36"/>
    </row>
    <row r="6" spans="1:40">
      <c r="B6" s="22"/>
      <c r="C6" s="22"/>
      <c r="D6" s="22"/>
      <c r="E6" s="22" t="s">
        <v>18</v>
      </c>
      <c r="F6" s="22" t="s">
        <v>19</v>
      </c>
      <c r="G6" s="22"/>
      <c r="H6" s="27">
        <v>0.5</v>
      </c>
      <c r="I6" s="22"/>
      <c r="J6" s="27"/>
      <c r="K6" s="27"/>
      <c r="L6" s="27" t="str">
        <f>AVERAGE(L7:L8)*H6</f>
        <v>0</v>
      </c>
      <c r="M6" s="27" t="str">
        <f>L6/H6</f>
        <v>0</v>
      </c>
      <c r="N6" s="1"/>
      <c r="O6" s="22"/>
      <c r="P6" s="22"/>
      <c r="Q6" s="34"/>
      <c r="R6"/>
      <c r="S6" s="36">
        <v>0.5</v>
      </c>
      <c r="T6" s="28"/>
      <c r="U6" s="28"/>
      <c r="V6" s="28" t="str">
        <f>AVERAGE(V7:V8)*S6</f>
        <v>0</v>
      </c>
      <c r="W6" s="28" t="str">
        <f>V6/S6</f>
        <v>0</v>
      </c>
      <c r="X6" s="36"/>
      <c r="Y6"/>
      <c r="Z6"/>
      <c r="AA6" s="36">
        <v>0.5</v>
      </c>
      <c r="AB6" s="28"/>
      <c r="AC6" s="28"/>
      <c r="AD6" s="28" t="str">
        <f>AVERAGE(AD7:AD8)*AA6</f>
        <v>0</v>
      </c>
      <c r="AE6" s="28" t="str">
        <f>AD6/AA6</f>
        <v>0</v>
      </c>
      <c r="AF6" s="36"/>
      <c r="AG6"/>
      <c r="AH6"/>
      <c r="AI6" s="36">
        <v>0.5</v>
      </c>
      <c r="AJ6" s="28"/>
      <c r="AK6" s="28"/>
      <c r="AL6" s="28" t="str">
        <f>AVERAGE(AL7:AL8)*AI6</f>
        <v>0</v>
      </c>
      <c r="AM6" s="28" t="str">
        <f>AL6/AI6</f>
        <v>0</v>
      </c>
      <c r="AN6" s="36"/>
    </row>
    <row r="7" spans="1:40">
      <c r="A7" t="s">
        <v>20</v>
      </c>
      <c r="B7" s="23"/>
      <c r="C7" s="23"/>
      <c r="D7" s="23"/>
      <c r="E7" s="23"/>
      <c r="F7" s="23" t="s">
        <v>21</v>
      </c>
      <c r="G7" s="23" t="s">
        <v>22</v>
      </c>
      <c r="H7" s="28"/>
      <c r="I7" s="23" t="s">
        <v>23</v>
      </c>
      <c r="J7" s="28" t="s">
        <v>24</v>
      </c>
      <c r="K7" s="29" t="s">
        <v>25</v>
      </c>
      <c r="L7" s="28" t="str">
        <f>IF(J7="Ya/Tidak",IF(K7="Ya",1,IF(K7="Tidak",0,"Blm Diisi")),IF(J7="A/B/C",IF(K7="A",1,IF(K7="B",0.5,IF(K7="C",0,"Blm Diisi"))),IF(J7="A/B/C/D",IF(K7="A",1,IF(K7="B",0.67,IF(K7="C",0.33,IF(K7="D",0,"Blm Diisi")))),IF(J7="A/B/C/D/E",IF(K7="A",1,IF(K7="B",0.75,IF(K7="C",0.5,IF(K7="D",0.25,IF(K7="E",0,"Blm Diisi"))))),IF(J7="%",IF(K7="","Blm Diisi",K7),IF(J7="Jumlah",IF(K7="","Blm Diisi",""),IF(J7="Rupiah",IF(K7="","Blm Diisi",""),IF(J7="","","-"))))))))</f>
        <v>0</v>
      </c>
      <c r="M7" s="28"/>
      <c r="O7" s="30" t="s">
        <v>26</v>
      </c>
      <c r="P7" s="30" t="s">
        <v>27</v>
      </c>
      <c r="Q7" s="35" t="s">
        <v>28</v>
      </c>
      <c r="R7"/>
      <c r="S7" s="36"/>
      <c r="T7" s="28" t="s">
        <v>24</v>
      </c>
      <c r="U7" s="28" t="s">
        <v>25</v>
      </c>
      <c r="V7" s="28" t="str">
        <f>IF(T7="Ya/Tidak",IF(U7="Ya",1,IF(U7="Tidak",0,"Blm Diisi")),IF(T7="A/B/C",IF(U7="A",1,IF(U7="B",0.5,IF(U7="C",0,"Blm Diisi"))),IF(T7="A/B/C/D",IF(U7="A",1,IF(U7="B",0.67,IF(U7="C",0.33,IF(U7="D",0,"Blm Diisi")))),IF(T7="A/B/C/D/E",IF(U7="A",1,IF(U7="B",0.75,IF(U7="C",0.5,IF(U7="D",0.25,IF(U7="E",0,"Blm Diisi"))))),IF(T7="%",IF(U7="","Blm Diisi",U7),IF(T7="Jumlah",IF(U7="","Blm Diisi",""),IF(T7="Rupiah",IF(U7="","Blm Diisi",""),IF(T7="","","-"))))))))</f>
        <v>0</v>
      </c>
      <c r="W7" s="28"/>
      <c r="X7" s="36" t="s">
        <v>29</v>
      </c>
      <c r="Y7"/>
      <c r="Z7"/>
      <c r="AA7" s="36"/>
      <c r="AB7" s="28" t="s">
        <v>24</v>
      </c>
      <c r="AC7" s="28"/>
      <c r="AD7" s="28" t="str">
        <f>IF(AB7="Ya/Tidak",IF(AC7="Ya",1,IF(AC7="Tidak",0,"Blm Diisi")),IF(AB7="A/B/C",IF(AC7="A",1,IF(AC7="B",0.5,IF(AC7="C",0,"Blm Diisi"))),IF(AB7="A/B/C/D",IF(AC7="A",1,IF(AC7="B",0.67,IF(AC7="C",0.33,IF(AC7="D",0,"Blm Diisi")))),IF(AB7="A/B/C/D/E",IF(AC7="A",1,IF(AC7="B",0.75,IF(AC7="C",0.5,IF(AC7="D",0.25,IF(AC7="E",0,"Blm Diisi"))))),IF(AB7="%",IF(AC7="","Blm Diisi",AC7),IF(AB7="Jumlah",IF(AC7="","Blm Diisi",""),IF(AB7="Rupiah",IF(AC7="","Blm Diisi",""),IF(AB7="","","-"))))))))</f>
        <v>0</v>
      </c>
      <c r="AE7" s="28"/>
      <c r="AF7" s="36"/>
      <c r="AG7"/>
      <c r="AH7"/>
      <c r="AI7" s="36"/>
      <c r="AJ7" s="28" t="s">
        <v>24</v>
      </c>
      <c r="AK7" s="28"/>
      <c r="AL7" s="28" t="str">
        <f>IF(AJ7="Ya/Tidak",IF(AK7="Ya",1,IF(AK7="Tidak",0,"Blm Diisi")),IF(AJ7="A/B/C",IF(AK7="A",1,IF(AK7="B",0.5,IF(AK7="C",0,"Blm Diisi"))),IF(AJ7="A/B/C/D",IF(AK7="A",1,IF(AK7="B",0.67,IF(AK7="C",0.33,IF(AK7="D",0,"Blm Diisi")))),IF(AJ7="A/B/C/D/E",IF(AK7="A",1,IF(AK7="B",0.75,IF(AK7="C",0.5,IF(AK7="D",0.25,IF(AK7="E",0,"Blm Diisi"))))),IF(AJ7="%",IF(AK7="","Blm Diisi",AK7),IF(AJ7="Jumlah",IF(AK7="","Blm Diisi",""),IF(AJ7="Rupiah",IF(AK7="","Blm Diisi",""),IF(AJ7="","","-"))))))))</f>
        <v>0</v>
      </c>
      <c r="AM7" s="28"/>
      <c r="AN7" s="36"/>
    </row>
    <row r="8" spans="1:40">
      <c r="A8" t="s">
        <v>20</v>
      </c>
      <c r="B8" s="23"/>
      <c r="C8" s="23"/>
      <c r="D8" s="23"/>
      <c r="E8" s="23"/>
      <c r="F8" s="23" t="s">
        <v>30</v>
      </c>
      <c r="G8" s="23" t="s">
        <v>31</v>
      </c>
      <c r="H8" s="28"/>
      <c r="I8" s="23" t="s">
        <v>32</v>
      </c>
      <c r="J8" s="28" t="s">
        <v>33</v>
      </c>
      <c r="K8" s="29" t="s">
        <v>34</v>
      </c>
      <c r="L8" s="28" t="str">
        <f>IF(J8="Ya/Tidak",IF(K8="Ya",1,IF(K8="Tidak",0,"Blm Diisi")),IF(J8="A/B/C",IF(K8="A",1,IF(K8="B",0.5,IF(K8="C",0,"Blm Diisi"))),IF(J8="A/B/C/D",IF(K8="A",1,IF(K8="B",0.67,IF(K8="C",0.33,IF(K8="D",0,"Blm Diisi")))),IF(J8="A/B/C/D/E",IF(K8="A",1,IF(K8="B",0.75,IF(K8="C",0.5,IF(K8="D",0.25,IF(K8="E",0,"Blm Diisi"))))),IF(J8="%",IF(K8="","Blm Diisi",K8),IF(J8="Jumlah",IF(K8="","Blm Diisi",""),IF(J8="Rupiah",IF(K8="","Blm Diisi",""),IF(J8="","","-"))))))))</f>
        <v>0</v>
      </c>
      <c r="M8" s="28"/>
      <c r="O8" s="30" t="s">
        <v>35</v>
      </c>
      <c r="P8" s="30" t="s">
        <v>36</v>
      </c>
      <c r="Q8" s="35" t="s">
        <v>37</v>
      </c>
      <c r="R8"/>
      <c r="S8" s="36"/>
      <c r="T8" s="28" t="s">
        <v>33</v>
      </c>
      <c r="U8" s="28" t="s">
        <v>38</v>
      </c>
      <c r="V8" s="28" t="str">
        <f>IF(T8="Ya/Tidak",IF(U8="Ya",1,IF(U8="Tidak",0,"Blm Diisi")),IF(T8="A/B/C",IF(U8="A",1,IF(U8="B",0.5,IF(U8="C",0,"Blm Diisi"))),IF(T8="A/B/C/D",IF(U8="A",1,IF(U8="B",0.67,IF(U8="C",0.33,IF(U8="D",0,"Blm Diisi")))),IF(T8="A/B/C/D/E",IF(U8="A",1,IF(U8="B",0.75,IF(U8="C",0.5,IF(U8="D",0.25,IF(U8="E",0,"Blm Diisi"))))),IF(T8="%",IF(U8="","Blm Diisi",U8),IF(T8="Jumlah",IF(U8="","Blm Diisi",""),IF(T8="Rupiah",IF(U8="","Blm Diisi",""),IF(T8="","","-"))))))))</f>
        <v>0</v>
      </c>
      <c r="W8" s="28"/>
      <c r="X8" s="36" t="s">
        <v>39</v>
      </c>
      <c r="Y8"/>
      <c r="Z8"/>
      <c r="AA8" s="36"/>
      <c r="AB8" s="28" t="s">
        <v>33</v>
      </c>
      <c r="AC8" s="28"/>
      <c r="AD8" s="28" t="str">
        <f>IF(AB8="Ya/Tidak",IF(AC8="Ya",1,IF(AC8="Tidak",0,"Blm Diisi")),IF(AB8="A/B/C",IF(AC8="A",1,IF(AC8="B",0.5,IF(AC8="C",0,"Blm Diisi"))),IF(AB8="A/B/C/D",IF(AC8="A",1,IF(AC8="B",0.67,IF(AC8="C",0.33,IF(AC8="D",0,"Blm Diisi")))),IF(AB8="A/B/C/D/E",IF(AC8="A",1,IF(AC8="B",0.75,IF(AC8="C",0.5,IF(AC8="D",0.25,IF(AC8="E",0,"Blm Diisi"))))),IF(AB8="%",IF(AC8="","Blm Diisi",AC8),IF(AB8="Jumlah",IF(AC8="","Blm Diisi",""),IF(AB8="Rupiah",IF(AC8="","Blm Diisi",""),IF(AB8="","","-"))))))))</f>
        <v>0</v>
      </c>
      <c r="AE8" s="28"/>
      <c r="AF8" s="36"/>
      <c r="AG8"/>
      <c r="AH8"/>
      <c r="AI8" s="36"/>
      <c r="AJ8" s="28" t="s">
        <v>33</v>
      </c>
      <c r="AK8" s="28"/>
      <c r="AL8" s="28" t="str">
        <f>IF(AJ8="Ya/Tidak",IF(AK8="Ya",1,IF(AK8="Tidak",0,"Blm Diisi")),IF(AJ8="A/B/C",IF(AK8="A",1,IF(AK8="B",0.5,IF(AK8="C",0,"Blm Diisi"))),IF(AJ8="A/B/C/D",IF(AK8="A",1,IF(AK8="B",0.67,IF(AK8="C",0.33,IF(AK8="D",0,"Blm Diisi")))),IF(AJ8="A/B/C/D/E",IF(AK8="A",1,IF(AK8="B",0.75,IF(AK8="C",0.5,IF(AK8="D",0.25,IF(AK8="E",0,"Blm Diisi"))))),IF(AJ8="%",IF(AK8="","Blm Diisi",AK8),IF(AJ8="Jumlah",IF(AK8="","Blm Diisi",""),IF(AJ8="Rupiah",IF(AK8="","Blm Diisi",""),IF(AJ8="","","-"))))))))</f>
        <v>0</v>
      </c>
      <c r="AM8" s="28"/>
      <c r="AN8" s="36"/>
    </row>
    <row r="9" spans="1:40">
      <c r="B9" s="22"/>
      <c r="C9" s="22"/>
      <c r="D9" s="22"/>
      <c r="E9" s="22" t="s">
        <v>40</v>
      </c>
      <c r="F9" s="22" t="s">
        <v>41</v>
      </c>
      <c r="G9" s="22"/>
      <c r="H9" s="27">
        <v>1</v>
      </c>
      <c r="I9" s="22"/>
      <c r="J9" s="27"/>
      <c r="K9" s="27"/>
      <c r="L9" s="27" t="str">
        <f>AVERAGE(L10:L12)*H9</f>
        <v>0</v>
      </c>
      <c r="M9" s="27" t="str">
        <f>L9/H9</f>
        <v>0</v>
      </c>
      <c r="N9" s="1"/>
      <c r="O9" s="22"/>
      <c r="P9" s="22"/>
      <c r="Q9" s="34"/>
      <c r="R9"/>
      <c r="S9" s="36">
        <v>1</v>
      </c>
      <c r="T9" s="28"/>
      <c r="U9" s="28"/>
      <c r="V9" s="28" t="str">
        <f>AVERAGE(V10:V12)*S9</f>
        <v>0</v>
      </c>
      <c r="W9" s="28" t="str">
        <f>V9/S9</f>
        <v>0</v>
      </c>
      <c r="X9" s="36"/>
      <c r="Y9"/>
      <c r="Z9"/>
      <c r="AA9" s="36">
        <v>1</v>
      </c>
      <c r="AB9" s="28"/>
      <c r="AC9" s="28"/>
      <c r="AD9" s="28" t="str">
        <f>AVERAGE(AD10:AD12)*AA9</f>
        <v>0</v>
      </c>
      <c r="AE9" s="28" t="str">
        <f>AD9/AA9</f>
        <v>0</v>
      </c>
      <c r="AF9" s="36"/>
      <c r="AG9"/>
      <c r="AH9"/>
      <c r="AI9" s="36">
        <v>1</v>
      </c>
      <c r="AJ9" s="28"/>
      <c r="AK9" s="28"/>
      <c r="AL9" s="28" t="str">
        <f>AVERAGE(AL10:AL12)*AI9</f>
        <v>0</v>
      </c>
      <c r="AM9" s="28" t="str">
        <f>AL9/AI9</f>
        <v>0</v>
      </c>
      <c r="AN9" s="36"/>
    </row>
    <row r="10" spans="1:40">
      <c r="A10" t="s">
        <v>20</v>
      </c>
      <c r="B10" s="23"/>
      <c r="C10" s="23"/>
      <c r="D10" s="23"/>
      <c r="E10" s="23"/>
      <c r="F10" s="23" t="s">
        <v>21</v>
      </c>
      <c r="G10" s="23" t="s">
        <v>42</v>
      </c>
      <c r="H10" s="28"/>
      <c r="I10" s="23" t="s">
        <v>43</v>
      </c>
      <c r="J10" s="28" t="s">
        <v>24</v>
      </c>
      <c r="K10" s="29" t="s">
        <v>25</v>
      </c>
      <c r="L10" s="28" t="str">
        <f>IF(J10="Ya/Tidak",IF(K10="Ya",1,IF(K10="Tidak",0,"Blm Diisi")),IF(J10="A/B/C",IF(K10="A",1,IF(K10="B",0.5,IF(K10="C",0,"Blm Diisi"))),IF(J10="A/B/C/D",IF(K10="A",1,IF(K10="B",0.67,IF(K10="C",0.33,IF(K10="D",0,"Blm Diisi")))),IF(J10="A/B/C/D/E",IF(K10="A",1,IF(K10="B",0.75,IF(K10="C",0.5,IF(K10="D",0.25,IF(K10="E",0,"Blm Diisi"))))),IF(J10="%",IF(K10="","Blm Diisi",K10),IF(J10="Jumlah",IF(K10="","Blm Diisi",""),IF(J10="Rupiah",IF(K10="","Blm Diisi",""),IF(J10="","","-"))))))))</f>
        <v>0</v>
      </c>
      <c r="M10" s="28"/>
      <c r="O10" s="30" t="s">
        <v>44</v>
      </c>
      <c r="P10" s="30"/>
      <c r="Q10" s="35"/>
      <c r="R10"/>
      <c r="S10" s="36"/>
      <c r="T10" s="28" t="s">
        <v>24</v>
      </c>
      <c r="U10" s="28" t="s">
        <v>45</v>
      </c>
      <c r="V10" s="28" t="str">
        <f>IF(T10="Ya/Tidak",IF(U10="Ya",1,IF(U10="Tidak",0,"Blm Diisi")),IF(T10="A/B/C",IF(U10="A",1,IF(U10="B",0.5,IF(U10="C",0,"Blm Diisi"))),IF(T10="A/B/C/D",IF(U10="A",1,IF(U10="B",0.67,IF(U10="C",0.33,IF(U10="D",0,"Blm Diisi")))),IF(T10="A/B/C/D/E",IF(U10="A",1,IF(U10="B",0.75,IF(U10="C",0.5,IF(U10="D",0.25,IF(U10="E",0,"Blm Diisi"))))),IF(T10="%",IF(U10="","Blm Diisi",U10),IF(T10="Jumlah",IF(U10="","Blm Diisi",""),IF(T10="Rupiah",IF(U10="","Blm Diisi",""),IF(T10="","","-"))))))))</f>
        <v>0</v>
      </c>
      <c r="W10" s="28"/>
      <c r="X10" s="36" t="s">
        <v>46</v>
      </c>
      <c r="Y10"/>
      <c r="Z10"/>
      <c r="AA10" s="36"/>
      <c r="AB10" s="28" t="s">
        <v>24</v>
      </c>
      <c r="AC10" s="28"/>
      <c r="AD10" s="28" t="str">
        <f>IF(AB10="Ya/Tidak",IF(AC10="Ya",1,IF(AC10="Tidak",0,"Blm Diisi")),IF(AB10="A/B/C",IF(AC10="A",1,IF(AC10="B",0.5,IF(AC10="C",0,"Blm Diisi"))),IF(AB10="A/B/C/D",IF(AC10="A",1,IF(AC10="B",0.67,IF(AC10="C",0.33,IF(AC10="D",0,"Blm Diisi")))),IF(AB10="A/B/C/D/E",IF(AC10="A",1,IF(AC10="B",0.75,IF(AC10="C",0.5,IF(AC10="D",0.25,IF(AC10="E",0,"Blm Diisi"))))),IF(AB10="%",IF(AC10="","Blm Diisi",AC10),IF(AB10="Jumlah",IF(AC10="","Blm Diisi",""),IF(AB10="Rupiah",IF(AC10="","Blm Diisi",""),IF(AB10="","","-"))))))))</f>
        <v>0</v>
      </c>
      <c r="AE10" s="28"/>
      <c r="AF10" s="36"/>
      <c r="AG10"/>
      <c r="AH10"/>
      <c r="AI10" s="36"/>
      <c r="AJ10" s="28" t="s">
        <v>24</v>
      </c>
      <c r="AK10" s="28"/>
      <c r="AL10" s="28" t="str">
        <f>IF(AJ10="Ya/Tidak",IF(AK10="Ya",1,IF(AK10="Tidak",0,"Blm Diisi")),IF(AJ10="A/B/C",IF(AK10="A",1,IF(AK10="B",0.5,IF(AK10="C",0,"Blm Diisi"))),IF(AJ10="A/B/C/D",IF(AK10="A",1,IF(AK10="B",0.67,IF(AK10="C",0.33,IF(AK10="D",0,"Blm Diisi")))),IF(AJ10="A/B/C/D/E",IF(AK10="A",1,IF(AK10="B",0.75,IF(AK10="C",0.5,IF(AK10="D",0.25,IF(AK10="E",0,"Blm Diisi"))))),IF(AJ10="%",IF(AK10="","Blm Diisi",AK10),IF(AJ10="Jumlah",IF(AK10="","Blm Diisi",""),IF(AJ10="Rupiah",IF(AK10="","Blm Diisi",""),IF(AJ10="","","-"))))))))</f>
        <v>0</v>
      </c>
      <c r="AM10" s="28"/>
      <c r="AN10" s="36"/>
    </row>
    <row r="11" spans="1:40">
      <c r="A11" t="s">
        <v>20</v>
      </c>
      <c r="B11" s="23"/>
      <c r="C11" s="23"/>
      <c r="D11" s="23"/>
      <c r="E11" s="23"/>
      <c r="F11" s="23" t="s">
        <v>30</v>
      </c>
      <c r="G11" s="23" t="s">
        <v>47</v>
      </c>
      <c r="H11" s="28"/>
      <c r="I11" s="23" t="s">
        <v>48</v>
      </c>
      <c r="J11" s="28" t="s">
        <v>33</v>
      </c>
      <c r="K11" s="29" t="s">
        <v>34</v>
      </c>
      <c r="L11" s="28" t="str">
        <f>IF(J11="Ya/Tidak",IF(K11="Ya",1,IF(K11="Tidak",0,"Blm Diisi")),IF(J11="A/B/C",IF(K11="A",1,IF(K11="B",0.5,IF(K11="C",0,"Blm Diisi"))),IF(J11="A/B/C/D",IF(K11="A",1,IF(K11="B",0.67,IF(K11="C",0.33,IF(K11="D",0,"Blm Diisi")))),IF(J11="A/B/C/D/E",IF(K11="A",1,IF(K11="B",0.75,IF(K11="C",0.5,IF(K11="D",0.25,IF(K11="E",0,"Blm Diisi"))))),IF(J11="%",IF(K11="","Blm Diisi",K11),IF(J11="Jumlah",IF(K11="","Blm Diisi",""),IF(J11="Rupiah",IF(K11="","Blm Diisi",""),IF(J11="","","-"))))))))</f>
        <v>0</v>
      </c>
      <c r="M11" s="28"/>
      <c r="O11" s="30" t="s">
        <v>49</v>
      </c>
      <c r="P11" s="30"/>
      <c r="Q11" s="35"/>
      <c r="R11"/>
      <c r="S11" s="36"/>
      <c r="T11" s="28" t="s">
        <v>33</v>
      </c>
      <c r="U11" s="28" t="s">
        <v>50</v>
      </c>
      <c r="V11" s="28" t="str">
        <f>IF(T11="Ya/Tidak",IF(U11="Ya",1,IF(U11="Tidak",0,"Blm Diisi")),IF(T11="A/B/C",IF(U11="A",1,IF(U11="B",0.5,IF(U11="C",0,"Blm Diisi"))),IF(T11="A/B/C/D",IF(U11="A",1,IF(U11="B",0.67,IF(U11="C",0.33,IF(U11="D",0,"Blm Diisi")))),IF(T11="A/B/C/D/E",IF(U11="A",1,IF(U11="B",0.75,IF(U11="C",0.5,IF(U11="D",0.25,IF(U11="E",0,"Blm Diisi"))))),IF(T11="%",IF(U11="","Blm Diisi",U11),IF(T11="Jumlah",IF(U11="","Blm Diisi",""),IF(T11="Rupiah",IF(U11="","Blm Diisi",""),IF(T11="","","-"))))))))</f>
        <v>0</v>
      </c>
      <c r="W11" s="28"/>
      <c r="X11" s="36" t="s">
        <v>51</v>
      </c>
      <c r="Y11"/>
      <c r="Z11"/>
      <c r="AA11" s="36"/>
      <c r="AB11" s="28" t="s">
        <v>33</v>
      </c>
      <c r="AC11" s="28"/>
      <c r="AD11" s="28" t="str">
        <f>IF(AB11="Ya/Tidak",IF(AC11="Ya",1,IF(AC11="Tidak",0,"Blm Diisi")),IF(AB11="A/B/C",IF(AC11="A",1,IF(AC11="B",0.5,IF(AC11="C",0,"Blm Diisi"))),IF(AB11="A/B/C/D",IF(AC11="A",1,IF(AC11="B",0.67,IF(AC11="C",0.33,IF(AC11="D",0,"Blm Diisi")))),IF(AB11="A/B/C/D/E",IF(AC11="A",1,IF(AC11="B",0.75,IF(AC11="C",0.5,IF(AC11="D",0.25,IF(AC11="E",0,"Blm Diisi"))))),IF(AB11="%",IF(AC11="","Blm Diisi",AC11),IF(AB11="Jumlah",IF(AC11="","Blm Diisi",""),IF(AB11="Rupiah",IF(AC11="","Blm Diisi",""),IF(AB11="","","-"))))))))</f>
        <v>0</v>
      </c>
      <c r="AE11" s="28"/>
      <c r="AF11" s="36"/>
      <c r="AG11"/>
      <c r="AH11"/>
      <c r="AI11" s="36"/>
      <c r="AJ11" s="28" t="s">
        <v>33</v>
      </c>
      <c r="AK11" s="28"/>
      <c r="AL11" s="28" t="str">
        <f>IF(AJ11="Ya/Tidak",IF(AK11="Ya",1,IF(AK11="Tidak",0,"Blm Diisi")),IF(AJ11="A/B/C",IF(AK11="A",1,IF(AK11="B",0.5,IF(AK11="C",0,"Blm Diisi"))),IF(AJ11="A/B/C/D",IF(AK11="A",1,IF(AK11="B",0.67,IF(AK11="C",0.33,IF(AK11="D",0,"Blm Diisi")))),IF(AJ11="A/B/C/D/E",IF(AK11="A",1,IF(AK11="B",0.75,IF(AK11="C",0.5,IF(AK11="D",0.25,IF(AK11="E",0,"Blm Diisi"))))),IF(AJ11="%",IF(AK11="","Blm Diisi",AK11),IF(AJ11="Jumlah",IF(AK11="","Blm Diisi",""),IF(AJ11="Rupiah",IF(AK11="","Blm Diisi",""),IF(AJ11="","","-"))))))))</f>
        <v>0</v>
      </c>
      <c r="AM11" s="28"/>
      <c r="AN11" s="36"/>
    </row>
    <row r="12" spans="1:40">
      <c r="A12" t="s">
        <v>20</v>
      </c>
      <c r="B12" s="23"/>
      <c r="C12" s="23"/>
      <c r="D12" s="23"/>
      <c r="E12" s="23"/>
      <c r="F12" s="23" t="s">
        <v>52</v>
      </c>
      <c r="G12" s="23" t="s">
        <v>53</v>
      </c>
      <c r="H12" s="28"/>
      <c r="I12" s="23" t="s">
        <v>54</v>
      </c>
      <c r="J12" s="28" t="s">
        <v>33</v>
      </c>
      <c r="K12" s="29" t="s">
        <v>34</v>
      </c>
      <c r="L12" s="28" t="str">
        <f>IF(J12="Ya/Tidak",IF(K12="Ya",1,IF(K12="Tidak",0,"Blm Diisi")),IF(J12="A/B/C",IF(K12="A",1,IF(K12="B",0.5,IF(K12="C",0,"Blm Diisi"))),IF(J12="A/B/C/D",IF(K12="A",1,IF(K12="B",0.67,IF(K12="C",0.33,IF(K12="D",0,"Blm Diisi")))),IF(J12="A/B/C/D/E",IF(K12="A",1,IF(K12="B",0.75,IF(K12="C",0.5,IF(K12="D",0.25,IF(K12="E",0,"Blm Diisi"))))),IF(J12="%",IF(K12="","Blm Diisi",K12),IF(J12="Jumlah",IF(K12="","Blm Diisi",""),IF(J12="Rupiah",IF(K12="","Blm Diisi",""),IF(J12="","","-"))))))))</f>
        <v>0</v>
      </c>
      <c r="M12" s="28"/>
      <c r="O12" s="30" t="s">
        <v>55</v>
      </c>
      <c r="P12" s="30" t="s">
        <v>56</v>
      </c>
      <c r="Q12" s="35" t="s">
        <v>57</v>
      </c>
      <c r="R12"/>
      <c r="S12" s="36"/>
      <c r="T12" s="28" t="s">
        <v>33</v>
      </c>
      <c r="U12" s="28" t="s">
        <v>34</v>
      </c>
      <c r="V12" s="28" t="str">
        <f>IF(T12="Ya/Tidak",IF(U12="Ya",1,IF(U12="Tidak",0,"Blm Diisi")),IF(T12="A/B/C",IF(U12="A",1,IF(U12="B",0.5,IF(U12="C",0,"Blm Diisi"))),IF(T12="A/B/C/D",IF(U12="A",1,IF(U12="B",0.67,IF(U12="C",0.33,IF(U12="D",0,"Blm Diisi")))),IF(T12="A/B/C/D/E",IF(U12="A",1,IF(U12="B",0.75,IF(U12="C",0.5,IF(U12="D",0.25,IF(U12="E",0,"Blm Diisi"))))),IF(T12="%",IF(U12="","Blm Diisi",U12),IF(T12="Jumlah",IF(U12="","Blm Diisi",""),IF(T12="Rupiah",IF(U12="","Blm Diisi",""),IF(T12="","","-"))))))))</f>
        <v>0</v>
      </c>
      <c r="W12" s="28"/>
      <c r="X12" s="36" t="s">
        <v>58</v>
      </c>
      <c r="Y12"/>
      <c r="Z12"/>
      <c r="AA12" s="36"/>
      <c r="AB12" s="28" t="s">
        <v>33</v>
      </c>
      <c r="AC12" s="28"/>
      <c r="AD12" s="28" t="str">
        <f>IF(AB12="Ya/Tidak",IF(AC12="Ya",1,IF(AC12="Tidak",0,"Blm Diisi")),IF(AB12="A/B/C",IF(AC12="A",1,IF(AC12="B",0.5,IF(AC12="C",0,"Blm Diisi"))),IF(AB12="A/B/C/D",IF(AC12="A",1,IF(AC12="B",0.67,IF(AC12="C",0.33,IF(AC12="D",0,"Blm Diisi")))),IF(AB12="A/B/C/D/E",IF(AC12="A",1,IF(AC12="B",0.75,IF(AC12="C",0.5,IF(AC12="D",0.25,IF(AC12="E",0,"Blm Diisi"))))),IF(AB12="%",IF(AC12="","Blm Diisi",AC12),IF(AB12="Jumlah",IF(AC12="","Blm Diisi",""),IF(AB12="Rupiah",IF(AC12="","Blm Diisi",""),IF(AB12="","","-"))))))))</f>
        <v>0</v>
      </c>
      <c r="AE12" s="28"/>
      <c r="AF12" s="36"/>
      <c r="AG12"/>
      <c r="AH12"/>
      <c r="AI12" s="36"/>
      <c r="AJ12" s="28" t="s">
        <v>33</v>
      </c>
      <c r="AK12" s="28"/>
      <c r="AL12" s="28" t="str">
        <f>IF(AJ12="Ya/Tidak",IF(AK12="Ya",1,IF(AK12="Tidak",0,"Blm Diisi")),IF(AJ12="A/B/C",IF(AK12="A",1,IF(AK12="B",0.5,IF(AK12="C",0,"Blm Diisi"))),IF(AJ12="A/B/C/D",IF(AK12="A",1,IF(AK12="B",0.67,IF(AK12="C",0.33,IF(AK12="D",0,"Blm Diisi")))),IF(AJ12="A/B/C/D/E",IF(AK12="A",1,IF(AK12="B",0.75,IF(AK12="C",0.5,IF(AK12="D",0.25,IF(AK12="E",0,"Blm Diisi"))))),IF(AJ12="%",IF(AK12="","Blm Diisi",AK12),IF(AJ12="Jumlah",IF(AK12="","Blm Diisi",""),IF(AJ12="Rupiah",IF(AK12="","Blm Diisi",""),IF(AJ12="","","-"))))))))</f>
        <v>0</v>
      </c>
      <c r="AM12" s="28"/>
      <c r="AN12" s="36"/>
    </row>
    <row r="13" spans="1:40">
      <c r="B13" s="22"/>
      <c r="C13" s="22"/>
      <c r="D13" s="22"/>
      <c r="E13" s="22" t="s">
        <v>59</v>
      </c>
      <c r="F13" s="22" t="s">
        <v>60</v>
      </c>
      <c r="G13" s="22"/>
      <c r="H13" s="27">
        <v>1</v>
      </c>
      <c r="I13" s="22"/>
      <c r="J13" s="27"/>
      <c r="K13" s="27"/>
      <c r="L13" s="27" t="str">
        <f>AVERAGE(L14:L16)*H13</f>
        <v>0</v>
      </c>
      <c r="M13" s="27" t="str">
        <f>L13/H13</f>
        <v>0</v>
      </c>
      <c r="N13" s="1"/>
      <c r="O13" s="22"/>
      <c r="P13" s="22"/>
      <c r="Q13" s="34"/>
      <c r="R13"/>
      <c r="S13" s="36">
        <v>1</v>
      </c>
      <c r="T13" s="28"/>
      <c r="U13" s="28"/>
      <c r="V13" s="28" t="str">
        <f>AVERAGE(V14:V16)*S13</f>
        <v>0</v>
      </c>
      <c r="W13" s="28" t="str">
        <f>V13/S13</f>
        <v>0</v>
      </c>
      <c r="X13" s="36"/>
      <c r="Y13"/>
      <c r="Z13"/>
      <c r="AA13" s="36">
        <v>1</v>
      </c>
      <c r="AB13" s="28"/>
      <c r="AC13" s="28"/>
      <c r="AD13" s="28" t="str">
        <f>AVERAGE(AD14:AD16)*AA13</f>
        <v>0</v>
      </c>
      <c r="AE13" s="28" t="str">
        <f>AD13/AA13</f>
        <v>0</v>
      </c>
      <c r="AF13" s="36"/>
      <c r="AG13"/>
      <c r="AH13"/>
      <c r="AI13" s="36">
        <v>1</v>
      </c>
      <c r="AJ13" s="28"/>
      <c r="AK13" s="28"/>
      <c r="AL13" s="28" t="str">
        <f>AVERAGE(AL14:AL16)*AI13</f>
        <v>0</v>
      </c>
      <c r="AM13" s="28" t="str">
        <f>AL13/AI13</f>
        <v>0</v>
      </c>
      <c r="AN13" s="36"/>
    </row>
    <row r="14" spans="1:40">
      <c r="A14" t="s">
        <v>20</v>
      </c>
      <c r="B14" s="23"/>
      <c r="C14" s="23"/>
      <c r="D14" s="23"/>
      <c r="E14" s="23"/>
      <c r="F14" s="23" t="s">
        <v>21</v>
      </c>
      <c r="G14" s="23" t="s">
        <v>61</v>
      </c>
      <c r="H14" s="28"/>
      <c r="I14" s="23" t="s">
        <v>62</v>
      </c>
      <c r="J14" s="28" t="s">
        <v>63</v>
      </c>
      <c r="K14" s="29" t="s">
        <v>34</v>
      </c>
      <c r="L14" s="28" t="str">
        <f>IF(J14="Ya/Tidak",IF(K14="Ya",1,IF(K14="Tidak",0,"Blm Diisi")),IF(J14="A/B/C",IF(K14="A",1,IF(K14="B",0.5,IF(K14="C",0,"Blm Diisi"))),IF(J14="A/B/C/D",IF(K14="A",1,IF(K14="B",0.67,IF(K14="C",0.33,IF(K14="D",0,"Blm Diisi")))),IF(J14="A/B/C/D/E",IF(K14="A",1,IF(K14="B",0.75,IF(K14="C",0.5,IF(K14="D",0.25,IF(K14="E",0,"Blm Diisi"))))),IF(J14="%",IF(K14="","Blm Diisi",K14),IF(J14="Jumlah",IF(K14="","Blm Diisi",""),IF(J14="Rupiah",IF(K14="","Blm Diisi",""),IF(J14="","","-"))))))))</f>
        <v>0</v>
      </c>
      <c r="M14" s="28"/>
      <c r="O14" s="30" t="s">
        <v>64</v>
      </c>
      <c r="P14" s="30" t="s">
        <v>65</v>
      </c>
      <c r="Q14" s="35" t="s">
        <v>66</v>
      </c>
      <c r="R14"/>
      <c r="S14" s="36"/>
      <c r="T14" s="28" t="s">
        <v>63</v>
      </c>
      <c r="U14" s="28" t="s">
        <v>34</v>
      </c>
      <c r="V14" s="28" t="str">
        <f>IF(T14="Ya/Tidak",IF(U14="Ya",1,IF(U14="Tidak",0,"Blm Diisi")),IF(T14="A/B/C",IF(U14="A",1,IF(U14="B",0.5,IF(U14="C",0,"Blm Diisi"))),IF(T14="A/B/C/D",IF(U14="A",1,IF(U14="B",0.67,IF(U14="C",0.33,IF(U14="D",0,"Blm Diisi")))),IF(T14="A/B/C/D/E",IF(U14="A",1,IF(U14="B",0.75,IF(U14="C",0.5,IF(U14="D",0.25,IF(U14="E",0,"Blm Diisi"))))),IF(T14="%",IF(U14="","Blm Diisi",U14),IF(T14="Jumlah",IF(U14="","Blm Diisi",""),IF(T14="Rupiah",IF(U14="","Blm Diisi",""),IF(T14="","","-"))))))))</f>
        <v>0</v>
      </c>
      <c r="W14" s="28"/>
      <c r="X14" s="36" t="s">
        <v>67</v>
      </c>
      <c r="Y14"/>
      <c r="Z14"/>
      <c r="AA14" s="36"/>
      <c r="AB14" s="28" t="s">
        <v>63</v>
      </c>
      <c r="AC14" s="28"/>
      <c r="AD14" s="28" t="str">
        <f>IF(AB14="Ya/Tidak",IF(AC14="Ya",1,IF(AC14="Tidak",0,"Blm Diisi")),IF(AB14="A/B/C",IF(AC14="A",1,IF(AC14="B",0.5,IF(AC14="C",0,"Blm Diisi"))),IF(AB14="A/B/C/D",IF(AC14="A",1,IF(AC14="B",0.67,IF(AC14="C",0.33,IF(AC14="D",0,"Blm Diisi")))),IF(AB14="A/B/C/D/E",IF(AC14="A",1,IF(AC14="B",0.75,IF(AC14="C",0.5,IF(AC14="D",0.25,IF(AC14="E",0,"Blm Diisi"))))),IF(AB14="%",IF(AC14="","Blm Diisi",AC14),IF(AB14="Jumlah",IF(AC14="","Blm Diisi",""),IF(AB14="Rupiah",IF(AC14="","Blm Diisi",""),IF(AB14="","","-"))))))))</f>
        <v>0</v>
      </c>
      <c r="AE14" s="28"/>
      <c r="AF14" s="36"/>
      <c r="AG14"/>
      <c r="AH14"/>
      <c r="AI14" s="36"/>
      <c r="AJ14" s="28" t="s">
        <v>63</v>
      </c>
      <c r="AK14" s="28"/>
      <c r="AL14" s="28" t="str">
        <f>IF(AJ14="Ya/Tidak",IF(AK14="Ya",1,IF(AK14="Tidak",0,"Blm Diisi")),IF(AJ14="A/B/C",IF(AK14="A",1,IF(AK14="B",0.5,IF(AK14="C",0,"Blm Diisi"))),IF(AJ14="A/B/C/D",IF(AK14="A",1,IF(AK14="B",0.67,IF(AK14="C",0.33,IF(AK14="D",0,"Blm Diisi")))),IF(AJ14="A/B/C/D/E",IF(AK14="A",1,IF(AK14="B",0.75,IF(AK14="C",0.5,IF(AK14="D",0.25,IF(AK14="E",0,"Blm Diisi"))))),IF(AJ14="%",IF(AK14="","Blm Diisi",AK14),IF(AJ14="Jumlah",IF(AK14="","Blm Diisi",""),IF(AJ14="Rupiah",IF(AK14="","Blm Diisi",""),IF(AJ14="","","-"))))))))</f>
        <v>0</v>
      </c>
      <c r="AM14" s="28"/>
      <c r="AN14" s="36"/>
    </row>
    <row r="15" spans="1:40">
      <c r="A15" t="s">
        <v>20</v>
      </c>
      <c r="B15" s="23"/>
      <c r="C15" s="23"/>
      <c r="D15" s="23"/>
      <c r="E15" s="23"/>
      <c r="F15" s="23" t="s">
        <v>30</v>
      </c>
      <c r="G15" s="23" t="s">
        <v>68</v>
      </c>
      <c r="H15" s="28"/>
      <c r="I15" s="23" t="s">
        <v>69</v>
      </c>
      <c r="J15" s="28" t="s">
        <v>63</v>
      </c>
      <c r="K15" s="29" t="s">
        <v>34</v>
      </c>
      <c r="L15" s="28" t="str">
        <f>IF(J15="Ya/Tidak",IF(K15="Ya",1,IF(K15="Tidak",0,"Blm Diisi")),IF(J15="A/B/C",IF(K15="A",1,IF(K15="B",0.5,IF(K15="C",0,"Blm Diisi"))),IF(J15="A/B/C/D",IF(K15="A",1,IF(K15="B",0.67,IF(K15="C",0.33,IF(K15="D",0,"Blm Diisi")))),IF(J15="A/B/C/D/E",IF(K15="A",1,IF(K15="B",0.75,IF(K15="C",0.5,IF(K15="D",0.25,IF(K15="E",0,"Blm Diisi"))))),IF(J15="%",IF(K15="","Blm Diisi",K15),IF(J15="Jumlah",IF(K15="","Blm Diisi",""),IF(J15="Rupiah",IF(K15="","Blm Diisi",""),IF(J15="","","-"))))))))</f>
        <v>0</v>
      </c>
      <c r="M15" s="28"/>
      <c r="O15" s="30" t="s">
        <v>70</v>
      </c>
      <c r="P15" s="30" t="s">
        <v>71</v>
      </c>
      <c r="Q15" s="35" t="s">
        <v>72</v>
      </c>
      <c r="R15"/>
      <c r="S15" s="36"/>
      <c r="T15" s="28" t="s">
        <v>63</v>
      </c>
      <c r="U15" s="28" t="s">
        <v>34</v>
      </c>
      <c r="V15" s="28" t="str">
        <f>IF(T15="Ya/Tidak",IF(U15="Ya",1,IF(U15="Tidak",0,"Blm Diisi")),IF(T15="A/B/C",IF(U15="A",1,IF(U15="B",0.5,IF(U15="C",0,"Blm Diisi"))),IF(T15="A/B/C/D",IF(U15="A",1,IF(U15="B",0.67,IF(U15="C",0.33,IF(U15="D",0,"Blm Diisi")))),IF(T15="A/B/C/D/E",IF(U15="A",1,IF(U15="B",0.75,IF(U15="C",0.5,IF(U15="D",0.25,IF(U15="E",0,"Blm Diisi"))))),IF(T15="%",IF(U15="","Blm Diisi",U15),IF(T15="Jumlah",IF(U15="","Blm Diisi",""),IF(T15="Rupiah",IF(U15="","Blm Diisi",""),IF(T15="","","-"))))))))</f>
        <v>0</v>
      </c>
      <c r="W15" s="28"/>
      <c r="X15" s="36" t="s">
        <v>73</v>
      </c>
      <c r="Y15"/>
      <c r="Z15"/>
      <c r="AA15" s="36"/>
      <c r="AB15" s="28" t="s">
        <v>63</v>
      </c>
      <c r="AC15" s="28"/>
      <c r="AD15" s="28" t="str">
        <f>IF(AB15="Ya/Tidak",IF(AC15="Ya",1,IF(AC15="Tidak",0,"Blm Diisi")),IF(AB15="A/B/C",IF(AC15="A",1,IF(AC15="B",0.5,IF(AC15="C",0,"Blm Diisi"))),IF(AB15="A/B/C/D",IF(AC15="A",1,IF(AC15="B",0.67,IF(AC15="C",0.33,IF(AC15="D",0,"Blm Diisi")))),IF(AB15="A/B/C/D/E",IF(AC15="A",1,IF(AC15="B",0.75,IF(AC15="C",0.5,IF(AC15="D",0.25,IF(AC15="E",0,"Blm Diisi"))))),IF(AB15="%",IF(AC15="","Blm Diisi",AC15),IF(AB15="Jumlah",IF(AC15="","Blm Diisi",""),IF(AB15="Rupiah",IF(AC15="","Blm Diisi",""),IF(AB15="","","-"))))))))</f>
        <v>0</v>
      </c>
      <c r="AE15" s="28"/>
      <c r="AF15" s="36"/>
      <c r="AG15"/>
      <c r="AH15"/>
      <c r="AI15" s="36"/>
      <c r="AJ15" s="28" t="s">
        <v>63</v>
      </c>
      <c r="AK15" s="28"/>
      <c r="AL15" s="28" t="str">
        <f>IF(AJ15="Ya/Tidak",IF(AK15="Ya",1,IF(AK15="Tidak",0,"Blm Diisi")),IF(AJ15="A/B/C",IF(AK15="A",1,IF(AK15="B",0.5,IF(AK15="C",0,"Blm Diisi"))),IF(AJ15="A/B/C/D",IF(AK15="A",1,IF(AK15="B",0.67,IF(AK15="C",0.33,IF(AK15="D",0,"Blm Diisi")))),IF(AJ15="A/B/C/D/E",IF(AK15="A",1,IF(AK15="B",0.75,IF(AK15="C",0.5,IF(AK15="D",0.25,IF(AK15="E",0,"Blm Diisi"))))),IF(AJ15="%",IF(AK15="","Blm Diisi",AK15),IF(AJ15="Jumlah",IF(AK15="","Blm Diisi",""),IF(AJ15="Rupiah",IF(AK15="","Blm Diisi",""),IF(AJ15="","","-"))))))))</f>
        <v>0</v>
      </c>
      <c r="AM15" s="28"/>
      <c r="AN15" s="36"/>
    </row>
    <row r="16" spans="1:40">
      <c r="A16" t="s">
        <v>20</v>
      </c>
      <c r="B16" s="23"/>
      <c r="C16" s="23"/>
      <c r="D16" s="23"/>
      <c r="E16" s="23"/>
      <c r="F16" s="23" t="s">
        <v>52</v>
      </c>
      <c r="G16" s="23" t="s">
        <v>74</v>
      </c>
      <c r="H16" s="28"/>
      <c r="I16" s="23" t="s">
        <v>75</v>
      </c>
      <c r="J16" s="28" t="s">
        <v>63</v>
      </c>
      <c r="K16" s="29" t="s">
        <v>34</v>
      </c>
      <c r="L16" s="28" t="str">
        <f>IF(J16="Ya/Tidak",IF(K16="Ya",1,IF(K16="Tidak",0,"Blm Diisi")),IF(J16="A/B/C",IF(K16="A",1,IF(K16="B",0.5,IF(K16="C",0,"Blm Diisi"))),IF(J16="A/B/C/D",IF(K16="A",1,IF(K16="B",0.67,IF(K16="C",0.33,IF(K16="D",0,"Blm Diisi")))),IF(J16="A/B/C/D/E",IF(K16="A",1,IF(K16="B",0.75,IF(K16="C",0.5,IF(K16="D",0.25,IF(K16="E",0,"Blm Diisi"))))),IF(J16="%",IF(K16="","Blm Diisi",K16),IF(J16="Jumlah",IF(K16="","Blm Diisi",""),IF(J16="Rupiah",IF(K16="","Blm Diisi",""),IF(J16="","","-"))))))))</f>
        <v>0</v>
      </c>
      <c r="M16" s="28"/>
      <c r="O16" s="30" t="s">
        <v>76</v>
      </c>
      <c r="P16" s="30" t="s">
        <v>77</v>
      </c>
      <c r="Q16" s="35" t="s">
        <v>78</v>
      </c>
      <c r="R16"/>
      <c r="S16" s="36"/>
      <c r="T16" s="28" t="s">
        <v>63</v>
      </c>
      <c r="U16" s="28" t="s">
        <v>38</v>
      </c>
      <c r="V16" s="28" t="str">
        <f>IF(T16="Ya/Tidak",IF(U16="Ya",1,IF(U16="Tidak",0,"Blm Diisi")),IF(T16="A/B/C",IF(U16="A",1,IF(U16="B",0.5,IF(U16="C",0,"Blm Diisi"))),IF(T16="A/B/C/D",IF(U16="A",1,IF(U16="B",0.67,IF(U16="C",0.33,IF(U16="D",0,"Blm Diisi")))),IF(T16="A/B/C/D/E",IF(U16="A",1,IF(U16="B",0.75,IF(U16="C",0.5,IF(U16="D",0.25,IF(U16="E",0,"Blm Diisi"))))),IF(T16="%",IF(U16="","Blm Diisi",U16),IF(T16="Jumlah",IF(U16="","Blm Diisi",""),IF(T16="Rupiah",IF(U16="","Blm Diisi",""),IF(T16="","","-"))))))))</f>
        <v>0</v>
      </c>
      <c r="W16" s="28"/>
      <c r="X16" s="36" t="s">
        <v>79</v>
      </c>
      <c r="Y16"/>
      <c r="Z16"/>
      <c r="AA16" s="36"/>
      <c r="AB16" s="28" t="s">
        <v>63</v>
      </c>
      <c r="AC16" s="28"/>
      <c r="AD16" s="28" t="str">
        <f>IF(AB16="Ya/Tidak",IF(AC16="Ya",1,IF(AC16="Tidak",0,"Blm Diisi")),IF(AB16="A/B/C",IF(AC16="A",1,IF(AC16="B",0.5,IF(AC16="C",0,"Blm Diisi"))),IF(AB16="A/B/C/D",IF(AC16="A",1,IF(AC16="B",0.67,IF(AC16="C",0.33,IF(AC16="D",0,"Blm Diisi")))),IF(AB16="A/B/C/D/E",IF(AC16="A",1,IF(AC16="B",0.75,IF(AC16="C",0.5,IF(AC16="D",0.25,IF(AC16="E",0,"Blm Diisi"))))),IF(AB16="%",IF(AC16="","Blm Diisi",AC16),IF(AB16="Jumlah",IF(AC16="","Blm Diisi",""),IF(AB16="Rupiah",IF(AC16="","Blm Diisi",""),IF(AB16="","","-"))))))))</f>
        <v>0</v>
      </c>
      <c r="AE16" s="28"/>
      <c r="AF16" s="36"/>
      <c r="AG16"/>
      <c r="AH16"/>
      <c r="AI16" s="36"/>
      <c r="AJ16" s="28" t="s">
        <v>63</v>
      </c>
      <c r="AK16" s="28"/>
      <c r="AL16" s="28" t="str">
        <f>IF(AJ16="Ya/Tidak",IF(AK16="Ya",1,IF(AK16="Tidak",0,"Blm Diisi")),IF(AJ16="A/B/C",IF(AK16="A",1,IF(AK16="B",0.5,IF(AK16="C",0,"Blm Diisi"))),IF(AJ16="A/B/C/D",IF(AK16="A",1,IF(AK16="B",0.67,IF(AK16="C",0.33,IF(AK16="D",0,"Blm Diisi")))),IF(AJ16="A/B/C/D/E",IF(AK16="A",1,IF(AK16="B",0.75,IF(AK16="C",0.5,IF(AK16="D",0.25,IF(AK16="E",0,"Blm Diisi"))))),IF(AJ16="%",IF(AK16="","Blm Diisi",AK16),IF(AJ16="Jumlah",IF(AK16="","Blm Diisi",""),IF(AJ16="Rupiah",IF(AK16="","Blm Diisi",""),IF(AJ16="","","-"))))))))</f>
        <v>0</v>
      </c>
      <c r="AM16" s="28"/>
      <c r="AN16" s="36"/>
    </row>
    <row r="17" spans="1:40">
      <c r="B17" s="22"/>
      <c r="C17" s="22"/>
      <c r="D17" s="22"/>
      <c r="E17" s="22" t="s">
        <v>80</v>
      </c>
      <c r="F17" s="22" t="s">
        <v>81</v>
      </c>
      <c r="G17" s="22"/>
      <c r="H17" s="27">
        <v>1.5</v>
      </c>
      <c r="I17" s="22"/>
      <c r="J17" s="27"/>
      <c r="K17" s="27"/>
      <c r="L17" s="27" t="str">
        <f>AVERAGE(L18:L21)*H17</f>
        <v>0</v>
      </c>
      <c r="M17" s="27" t="str">
        <f>L17/H17</f>
        <v>0</v>
      </c>
      <c r="N17" s="1"/>
      <c r="O17" s="22"/>
      <c r="P17" s="22"/>
      <c r="Q17" s="34"/>
      <c r="R17"/>
      <c r="S17" s="36">
        <v>1.5</v>
      </c>
      <c r="T17" s="28"/>
      <c r="U17" s="28"/>
      <c r="V17" s="28" t="str">
        <f>AVERAGE(V18:V21)*S17</f>
        <v>0</v>
      </c>
      <c r="W17" s="28" t="str">
        <f>V17/S17</f>
        <v>0</v>
      </c>
      <c r="X17" s="36"/>
      <c r="Y17"/>
      <c r="Z17"/>
      <c r="AA17" s="36">
        <v>1.5</v>
      </c>
      <c r="AB17" s="28"/>
      <c r="AC17" s="28"/>
      <c r="AD17" s="28" t="str">
        <f>AVERAGE(AD18:AD21)*AA17</f>
        <v>0</v>
      </c>
      <c r="AE17" s="28" t="str">
        <f>AD17/AA17</f>
        <v>0</v>
      </c>
      <c r="AF17" s="36"/>
      <c r="AG17"/>
      <c r="AH17"/>
      <c r="AI17" s="36">
        <v>1.5</v>
      </c>
      <c r="AJ17" s="28"/>
      <c r="AK17" s="28"/>
      <c r="AL17" s="28" t="str">
        <f>AVERAGE(AL18:AL21)*AI17</f>
        <v>0</v>
      </c>
      <c r="AM17" s="28" t="str">
        <f>AL17/AI17</f>
        <v>0</v>
      </c>
      <c r="AN17" s="36"/>
    </row>
    <row r="18" spans="1:40">
      <c r="A18" t="s">
        <v>20</v>
      </c>
      <c r="B18" s="23"/>
      <c r="C18" s="23"/>
      <c r="D18" s="23"/>
      <c r="E18" s="23"/>
      <c r="F18" s="23" t="s">
        <v>21</v>
      </c>
      <c r="G18" s="23" t="s">
        <v>82</v>
      </c>
      <c r="H18" s="28"/>
      <c r="I18" s="23" t="s">
        <v>83</v>
      </c>
      <c r="J18" s="28" t="s">
        <v>24</v>
      </c>
      <c r="K18" s="29" t="s">
        <v>25</v>
      </c>
      <c r="L18" s="28" t="str">
        <f>IF(J18="Ya/Tidak",IF(K18="Ya",1,IF(K18="Tidak",0,"Blm Diisi")),IF(J18="A/B/C",IF(K18="A",1,IF(K18="B",0.5,IF(K18="C",0,"Blm Diisi"))),IF(J18="A/B/C/D",IF(K18="A",1,IF(K18="B",0.67,IF(K18="C",0.33,IF(K18="D",0,"Blm Diisi")))),IF(J18="A/B/C/D/E",IF(K18="A",1,IF(K18="B",0.75,IF(K18="C",0.5,IF(K18="D",0.25,IF(K18="E",0,"Blm Diisi"))))),IF(J18="%",IF(K18="","Blm Diisi",K18),IF(J18="Jumlah",IF(K18="","Blm Diisi",""),IF(J18="Rupiah",IF(K18="","Blm Diisi",""),IF(J18="","","-"))))))))</f>
        <v>0</v>
      </c>
      <c r="M18" s="28"/>
      <c r="O18" s="30" t="s">
        <v>84</v>
      </c>
      <c r="P18" s="30" t="s">
        <v>85</v>
      </c>
      <c r="Q18" s="35" t="s">
        <v>86</v>
      </c>
      <c r="R18"/>
      <c r="S18" s="36"/>
      <c r="T18" s="28" t="s">
        <v>24</v>
      </c>
      <c r="U18" s="28" t="s">
        <v>25</v>
      </c>
      <c r="V18" s="28" t="str">
        <f>IF(T18="Ya/Tidak",IF(U18="Ya",1,IF(U18="Tidak",0,"Blm Diisi")),IF(T18="A/B/C",IF(U18="A",1,IF(U18="B",0.5,IF(U18="C",0,"Blm Diisi"))),IF(T18="A/B/C/D",IF(U18="A",1,IF(U18="B",0.67,IF(U18="C",0.33,IF(U18="D",0,"Blm Diisi")))),IF(T18="A/B/C/D/E",IF(U18="A",1,IF(U18="B",0.75,IF(U18="C",0.5,IF(U18="D",0.25,IF(U18="E",0,"Blm Diisi"))))),IF(T18="%",IF(U18="","Blm Diisi",U18),IF(T18="Jumlah",IF(U18="","Blm Diisi",""),IF(T18="Rupiah",IF(U18="","Blm Diisi",""),IF(T18="","","-"))))))))</f>
        <v>0</v>
      </c>
      <c r="W18" s="28"/>
      <c r="X18" s="36"/>
      <c r="Y18"/>
      <c r="Z18"/>
      <c r="AA18" s="36"/>
      <c r="AB18" s="28" t="s">
        <v>24</v>
      </c>
      <c r="AC18" s="28"/>
      <c r="AD18" s="28" t="str">
        <f>IF(AB18="Ya/Tidak",IF(AC18="Ya",1,IF(AC18="Tidak",0,"Blm Diisi")),IF(AB18="A/B/C",IF(AC18="A",1,IF(AC18="B",0.5,IF(AC18="C",0,"Blm Diisi"))),IF(AB18="A/B/C/D",IF(AC18="A",1,IF(AC18="B",0.67,IF(AC18="C",0.33,IF(AC18="D",0,"Blm Diisi")))),IF(AB18="A/B/C/D/E",IF(AC18="A",1,IF(AC18="B",0.75,IF(AC18="C",0.5,IF(AC18="D",0.25,IF(AC18="E",0,"Blm Diisi"))))),IF(AB18="%",IF(AC18="","Blm Diisi",AC18),IF(AB18="Jumlah",IF(AC18="","Blm Diisi",""),IF(AB18="Rupiah",IF(AC18="","Blm Diisi",""),IF(AB18="","","-"))))))))</f>
        <v>0</v>
      </c>
      <c r="AE18" s="28"/>
      <c r="AF18" s="36"/>
      <c r="AG18"/>
      <c r="AH18"/>
      <c r="AI18" s="36"/>
      <c r="AJ18" s="28" t="s">
        <v>24</v>
      </c>
      <c r="AK18" s="28"/>
      <c r="AL18" s="28" t="str">
        <f>IF(AJ18="Ya/Tidak",IF(AK18="Ya",1,IF(AK18="Tidak",0,"Blm Diisi")),IF(AJ18="A/B/C",IF(AK18="A",1,IF(AK18="B",0.5,IF(AK18="C",0,"Blm Diisi"))),IF(AJ18="A/B/C/D",IF(AK18="A",1,IF(AK18="B",0.67,IF(AK18="C",0.33,IF(AK18="D",0,"Blm Diisi")))),IF(AJ18="A/B/C/D/E",IF(AK18="A",1,IF(AK18="B",0.75,IF(AK18="C",0.5,IF(AK18="D",0.25,IF(AK18="E",0,"Blm Diisi"))))),IF(AJ18="%",IF(AK18="","Blm Diisi",AK18),IF(AJ18="Jumlah",IF(AK18="","Blm Diisi",""),IF(AJ18="Rupiah",IF(AK18="","Blm Diisi",""),IF(AJ18="","","-"))))))))</f>
        <v>0</v>
      </c>
      <c r="AM18" s="28"/>
      <c r="AN18" s="36"/>
    </row>
    <row r="19" spans="1:40">
      <c r="A19" t="s">
        <v>20</v>
      </c>
      <c r="B19" s="23"/>
      <c r="C19" s="23"/>
      <c r="D19" s="23"/>
      <c r="E19" s="23"/>
      <c r="F19" s="23" t="s">
        <v>30</v>
      </c>
      <c r="G19" s="23" t="s">
        <v>87</v>
      </c>
      <c r="H19" s="28"/>
      <c r="I19" s="23" t="s">
        <v>88</v>
      </c>
      <c r="J19" s="28" t="s">
        <v>33</v>
      </c>
      <c r="K19" s="29" t="s">
        <v>34</v>
      </c>
      <c r="L19" s="28" t="str">
        <f>IF(J19="Ya/Tidak",IF(K19="Ya",1,IF(K19="Tidak",0,"Blm Diisi")),IF(J19="A/B/C",IF(K19="A",1,IF(K19="B",0.5,IF(K19="C",0,"Blm Diisi"))),IF(J19="A/B/C/D",IF(K19="A",1,IF(K19="B",0.67,IF(K19="C",0.33,IF(K19="D",0,"Blm Diisi")))),IF(J19="A/B/C/D/E",IF(K19="A",1,IF(K19="B",0.75,IF(K19="C",0.5,IF(K19="D",0.25,IF(K19="E",0,"Blm Diisi"))))),IF(J19="%",IF(K19="","Blm Diisi",K19),IF(J19="Jumlah",IF(K19="","Blm Diisi",""),IF(J19="Rupiah",IF(K19="","Blm Diisi",""),IF(J19="","","-"))))))))</f>
        <v>0</v>
      </c>
      <c r="M19" s="28"/>
      <c r="O19" s="30" t="s">
        <v>89</v>
      </c>
      <c r="P19" s="30" t="s">
        <v>90</v>
      </c>
      <c r="Q19" s="35" t="s">
        <v>91</v>
      </c>
      <c r="R19"/>
      <c r="S19" s="36"/>
      <c r="T19" s="28" t="s">
        <v>33</v>
      </c>
      <c r="U19" s="28" t="s">
        <v>38</v>
      </c>
      <c r="V19" s="28" t="str">
        <f>IF(T19="Ya/Tidak",IF(U19="Ya",1,IF(U19="Tidak",0,"Blm Diisi")),IF(T19="A/B/C",IF(U19="A",1,IF(U19="B",0.5,IF(U19="C",0,"Blm Diisi"))),IF(T19="A/B/C/D",IF(U19="A",1,IF(U19="B",0.67,IF(U19="C",0.33,IF(U19="D",0,"Blm Diisi")))),IF(T19="A/B/C/D/E",IF(U19="A",1,IF(U19="B",0.75,IF(U19="C",0.5,IF(U19="D",0.25,IF(U19="E",0,"Blm Diisi"))))),IF(T19="%",IF(U19="","Blm Diisi",U19),IF(T19="Jumlah",IF(U19="","Blm Diisi",""),IF(T19="Rupiah",IF(U19="","Blm Diisi",""),IF(T19="","","-"))))))))</f>
        <v>0</v>
      </c>
      <c r="W19" s="28"/>
      <c r="X19" s="36" t="s">
        <v>92</v>
      </c>
      <c r="Y19"/>
      <c r="Z19"/>
      <c r="AA19" s="36"/>
      <c r="AB19" s="28" t="s">
        <v>33</v>
      </c>
      <c r="AC19" s="28"/>
      <c r="AD19" s="28" t="str">
        <f>IF(AB19="Ya/Tidak",IF(AC19="Ya",1,IF(AC19="Tidak",0,"Blm Diisi")),IF(AB19="A/B/C",IF(AC19="A",1,IF(AC19="B",0.5,IF(AC19="C",0,"Blm Diisi"))),IF(AB19="A/B/C/D",IF(AC19="A",1,IF(AC19="B",0.67,IF(AC19="C",0.33,IF(AC19="D",0,"Blm Diisi")))),IF(AB19="A/B/C/D/E",IF(AC19="A",1,IF(AC19="B",0.75,IF(AC19="C",0.5,IF(AC19="D",0.25,IF(AC19="E",0,"Blm Diisi"))))),IF(AB19="%",IF(AC19="","Blm Diisi",AC19),IF(AB19="Jumlah",IF(AC19="","Blm Diisi",""),IF(AB19="Rupiah",IF(AC19="","Blm Diisi",""),IF(AB19="","","-"))))))))</f>
        <v>0</v>
      </c>
      <c r="AE19" s="28"/>
      <c r="AF19" s="36"/>
      <c r="AG19"/>
      <c r="AH19"/>
      <c r="AI19" s="36"/>
      <c r="AJ19" s="28" t="s">
        <v>33</v>
      </c>
      <c r="AK19" s="28"/>
      <c r="AL19" s="28" t="str">
        <f>IF(AJ19="Ya/Tidak",IF(AK19="Ya",1,IF(AK19="Tidak",0,"Blm Diisi")),IF(AJ19="A/B/C",IF(AK19="A",1,IF(AK19="B",0.5,IF(AK19="C",0,"Blm Diisi"))),IF(AJ19="A/B/C/D",IF(AK19="A",1,IF(AK19="B",0.67,IF(AK19="C",0.33,IF(AK19="D",0,"Blm Diisi")))),IF(AJ19="A/B/C/D/E",IF(AK19="A",1,IF(AK19="B",0.75,IF(AK19="C",0.5,IF(AK19="D",0.25,IF(AK19="E",0,"Blm Diisi"))))),IF(AJ19="%",IF(AK19="","Blm Diisi",AK19),IF(AJ19="Jumlah",IF(AK19="","Blm Diisi",""),IF(AJ19="Rupiah",IF(AK19="","Blm Diisi",""),IF(AJ19="","","-"))))))))</f>
        <v>0</v>
      </c>
      <c r="AM19" s="28"/>
      <c r="AN19" s="36"/>
    </row>
    <row r="20" spans="1:40">
      <c r="A20" t="s">
        <v>20</v>
      </c>
      <c r="B20" s="23"/>
      <c r="C20" s="23"/>
      <c r="D20" s="23"/>
      <c r="E20" s="23"/>
      <c r="F20" s="23" t="s">
        <v>52</v>
      </c>
      <c r="G20" s="23" t="s">
        <v>93</v>
      </c>
      <c r="H20" s="28"/>
      <c r="I20" s="23" t="s">
        <v>94</v>
      </c>
      <c r="J20" s="28" t="s">
        <v>33</v>
      </c>
      <c r="K20" s="29" t="s">
        <v>34</v>
      </c>
      <c r="L20" s="28" t="str">
        <f>IF(J20="Ya/Tidak",IF(K20="Ya",1,IF(K20="Tidak",0,"Blm Diisi")),IF(J20="A/B/C",IF(K20="A",1,IF(K20="B",0.5,IF(K20="C",0,"Blm Diisi"))),IF(J20="A/B/C/D",IF(K20="A",1,IF(K20="B",0.67,IF(K20="C",0.33,IF(K20="D",0,"Blm Diisi")))),IF(J20="A/B/C/D/E",IF(K20="A",1,IF(K20="B",0.75,IF(K20="C",0.5,IF(K20="D",0.25,IF(K20="E",0,"Blm Diisi"))))),IF(J20="%",IF(K20="","Blm Diisi",K20),IF(J20="Jumlah",IF(K20="","Blm Diisi",""),IF(J20="Rupiah",IF(K20="","Blm Diisi",""),IF(J20="","","-"))))))))</f>
        <v>0</v>
      </c>
      <c r="M20" s="28"/>
      <c r="O20" s="30" t="s">
        <v>95</v>
      </c>
      <c r="P20" s="30" t="s">
        <v>96</v>
      </c>
      <c r="Q20" s="35" t="s">
        <v>97</v>
      </c>
      <c r="R20"/>
      <c r="S20" s="36"/>
      <c r="T20" s="28" t="s">
        <v>33</v>
      </c>
      <c r="U20" s="28" t="s">
        <v>34</v>
      </c>
      <c r="V20" s="28" t="str">
        <f>IF(T20="Ya/Tidak",IF(U20="Ya",1,IF(U20="Tidak",0,"Blm Diisi")),IF(T20="A/B/C",IF(U20="A",1,IF(U20="B",0.5,IF(U20="C",0,"Blm Diisi"))),IF(T20="A/B/C/D",IF(U20="A",1,IF(U20="B",0.67,IF(U20="C",0.33,IF(U20="D",0,"Blm Diisi")))),IF(T20="A/B/C/D/E",IF(U20="A",1,IF(U20="B",0.75,IF(U20="C",0.5,IF(U20="D",0.25,IF(U20="E",0,"Blm Diisi"))))),IF(T20="%",IF(U20="","Blm Diisi",U20),IF(T20="Jumlah",IF(U20="","Blm Diisi",""),IF(T20="Rupiah",IF(U20="","Blm Diisi",""),IF(T20="","","-"))))))))</f>
        <v>0</v>
      </c>
      <c r="W20" s="28"/>
      <c r="X20" s="36" t="s">
        <v>98</v>
      </c>
      <c r="Y20"/>
      <c r="Z20"/>
      <c r="AA20" s="36"/>
      <c r="AB20" s="28" t="s">
        <v>33</v>
      </c>
      <c r="AC20" s="28"/>
      <c r="AD20" s="28" t="str">
        <f>IF(AB20="Ya/Tidak",IF(AC20="Ya",1,IF(AC20="Tidak",0,"Blm Diisi")),IF(AB20="A/B/C",IF(AC20="A",1,IF(AC20="B",0.5,IF(AC20="C",0,"Blm Diisi"))),IF(AB20="A/B/C/D",IF(AC20="A",1,IF(AC20="B",0.67,IF(AC20="C",0.33,IF(AC20="D",0,"Blm Diisi")))),IF(AB20="A/B/C/D/E",IF(AC20="A",1,IF(AC20="B",0.75,IF(AC20="C",0.5,IF(AC20="D",0.25,IF(AC20="E",0,"Blm Diisi"))))),IF(AB20="%",IF(AC20="","Blm Diisi",AC20),IF(AB20="Jumlah",IF(AC20="","Blm Diisi",""),IF(AB20="Rupiah",IF(AC20="","Blm Diisi",""),IF(AB20="","","-"))))))))</f>
        <v>0</v>
      </c>
      <c r="AE20" s="28"/>
      <c r="AF20" s="36"/>
      <c r="AG20"/>
      <c r="AH20"/>
      <c r="AI20" s="36"/>
      <c r="AJ20" s="28" t="s">
        <v>33</v>
      </c>
      <c r="AK20" s="28"/>
      <c r="AL20" s="28" t="str">
        <f>IF(AJ20="Ya/Tidak",IF(AK20="Ya",1,IF(AK20="Tidak",0,"Blm Diisi")),IF(AJ20="A/B/C",IF(AK20="A",1,IF(AK20="B",0.5,IF(AK20="C",0,"Blm Diisi"))),IF(AJ20="A/B/C/D",IF(AK20="A",1,IF(AK20="B",0.67,IF(AK20="C",0.33,IF(AK20="D",0,"Blm Diisi")))),IF(AJ20="A/B/C/D/E",IF(AK20="A",1,IF(AK20="B",0.75,IF(AK20="C",0.5,IF(AK20="D",0.25,IF(AK20="E",0,"Blm Diisi"))))),IF(AJ20="%",IF(AK20="","Blm Diisi",AK20),IF(AJ20="Jumlah",IF(AK20="","Blm Diisi",""),IF(AJ20="Rupiah",IF(AK20="","Blm Diisi",""),IF(AJ20="","","-"))))))))</f>
        <v>0</v>
      </c>
      <c r="AM20" s="28"/>
      <c r="AN20" s="36"/>
    </row>
    <row r="21" spans="1:40">
      <c r="A21" t="s">
        <v>20</v>
      </c>
      <c r="B21" s="23"/>
      <c r="C21" s="23"/>
      <c r="D21" s="23"/>
      <c r="E21" s="23"/>
      <c r="F21" s="23" t="s">
        <v>99</v>
      </c>
      <c r="G21" s="23" t="s">
        <v>100</v>
      </c>
      <c r="H21" s="28"/>
      <c r="I21" s="23" t="s">
        <v>101</v>
      </c>
      <c r="J21" s="28" t="s">
        <v>63</v>
      </c>
      <c r="K21" s="29" t="s">
        <v>34</v>
      </c>
      <c r="L21" s="28" t="str">
        <f>IF(J21="Ya/Tidak",IF(K21="Ya",1,IF(K21="Tidak",0,"Blm Diisi")),IF(J21="A/B/C",IF(K21="A",1,IF(K21="B",0.5,IF(K21="C",0,"Blm Diisi"))),IF(J21="A/B/C/D",IF(K21="A",1,IF(K21="B",0.67,IF(K21="C",0.33,IF(K21="D",0,"Blm Diisi")))),IF(J21="A/B/C/D/E",IF(K21="A",1,IF(K21="B",0.75,IF(K21="C",0.5,IF(K21="D",0.25,IF(K21="E",0,"Blm Diisi"))))),IF(J21="%",IF(K21="","Blm Diisi",K21),IF(J21="Jumlah",IF(K21="","Blm Diisi",""),IF(J21="Rupiah",IF(K21="","Blm Diisi",""),IF(J21="","","-"))))))))</f>
        <v>0</v>
      </c>
      <c r="M21" s="28"/>
      <c r="O21" s="30" t="s">
        <v>102</v>
      </c>
      <c r="P21" s="30" t="s">
        <v>103</v>
      </c>
      <c r="Q21" s="35" t="s">
        <v>104</v>
      </c>
      <c r="R21"/>
      <c r="S21" s="36"/>
      <c r="T21" s="28" t="s">
        <v>63</v>
      </c>
      <c r="U21" s="28" t="s">
        <v>38</v>
      </c>
      <c r="V21" s="28" t="str">
        <f>IF(T21="Ya/Tidak",IF(U21="Ya",1,IF(U21="Tidak",0,"Blm Diisi")),IF(T21="A/B/C",IF(U21="A",1,IF(U21="B",0.5,IF(U21="C",0,"Blm Diisi"))),IF(T21="A/B/C/D",IF(U21="A",1,IF(U21="B",0.67,IF(U21="C",0.33,IF(U21="D",0,"Blm Diisi")))),IF(T21="A/B/C/D/E",IF(U21="A",1,IF(U21="B",0.75,IF(U21="C",0.5,IF(U21="D",0.25,IF(U21="E",0,"Blm Diisi"))))),IF(T21="%",IF(U21="","Blm Diisi",U21),IF(T21="Jumlah",IF(U21="","Blm Diisi",""),IF(T21="Rupiah",IF(U21="","Blm Diisi",""),IF(T21="","","-"))))))))</f>
        <v>0</v>
      </c>
      <c r="W21" s="28"/>
      <c r="X21" s="36" t="s">
        <v>105</v>
      </c>
      <c r="Y21"/>
      <c r="Z21"/>
      <c r="AA21" s="36"/>
      <c r="AB21" s="28" t="s">
        <v>63</v>
      </c>
      <c r="AC21" s="28"/>
      <c r="AD21" s="28" t="str">
        <f>IF(AB21="Ya/Tidak",IF(AC21="Ya",1,IF(AC21="Tidak",0,"Blm Diisi")),IF(AB21="A/B/C",IF(AC21="A",1,IF(AC21="B",0.5,IF(AC21="C",0,"Blm Diisi"))),IF(AB21="A/B/C/D",IF(AC21="A",1,IF(AC21="B",0.67,IF(AC21="C",0.33,IF(AC21="D",0,"Blm Diisi")))),IF(AB21="A/B/C/D/E",IF(AC21="A",1,IF(AC21="B",0.75,IF(AC21="C",0.5,IF(AC21="D",0.25,IF(AC21="E",0,"Blm Diisi"))))),IF(AB21="%",IF(AC21="","Blm Diisi",AC21),IF(AB21="Jumlah",IF(AC21="","Blm Diisi",""),IF(AB21="Rupiah",IF(AC21="","Blm Diisi",""),IF(AB21="","","-"))))))))</f>
        <v>0</v>
      </c>
      <c r="AE21" s="28"/>
      <c r="AF21" s="36"/>
      <c r="AG21"/>
      <c r="AH21"/>
      <c r="AI21" s="36"/>
      <c r="AJ21" s="28" t="s">
        <v>63</v>
      </c>
      <c r="AK21" s="28"/>
      <c r="AL21" s="28" t="str">
        <f>IF(AJ21="Ya/Tidak",IF(AK21="Ya",1,IF(AK21="Tidak",0,"Blm Diisi")),IF(AJ21="A/B/C",IF(AK21="A",1,IF(AK21="B",0.5,IF(AK21="C",0,"Blm Diisi"))),IF(AJ21="A/B/C/D",IF(AK21="A",1,IF(AK21="B",0.67,IF(AK21="C",0.33,IF(AK21="D",0,"Blm Diisi")))),IF(AJ21="A/B/C/D/E",IF(AK21="A",1,IF(AK21="B",0.75,IF(AK21="C",0.5,IF(AK21="D",0.25,IF(AK21="E",0,"Blm Diisi"))))),IF(AJ21="%",IF(AK21="","Blm Diisi",AK21),IF(AJ21="Jumlah",IF(AK21="","Blm Diisi",""),IF(AJ21="Rupiah",IF(AK21="","Blm Diisi",""),IF(AJ21="","","-"))))))))</f>
        <v>0</v>
      </c>
      <c r="AM21" s="28"/>
      <c r="AN21" s="36"/>
    </row>
    <row r="22" spans="1:40">
      <c r="B22" s="21"/>
      <c r="C22" s="21"/>
      <c r="D22" s="21">
        <v>2.0</v>
      </c>
      <c r="E22" s="21" t="s">
        <v>106</v>
      </c>
      <c r="F22" s="21"/>
      <c r="G22" s="21"/>
      <c r="H22" s="26">
        <v>3.5</v>
      </c>
      <c r="I22" s="21"/>
      <c r="J22" s="26"/>
      <c r="K22" s="26"/>
      <c r="L22" s="26" t="str">
        <f>SUM(L23,L27,L32)</f>
        <v>0</v>
      </c>
      <c r="M22" s="26" t="str">
        <f>L22/H22</f>
        <v>0</v>
      </c>
      <c r="N22" s="1"/>
      <c r="O22" s="21"/>
      <c r="P22" s="21"/>
      <c r="Q22" s="33"/>
      <c r="R22"/>
      <c r="S22" s="36">
        <v>3.5</v>
      </c>
      <c r="T22" s="28"/>
      <c r="U22" s="28"/>
      <c r="V22" s="28" t="str">
        <f>SUM(V23,V27,V32)</f>
        <v>0</v>
      </c>
      <c r="W22" s="28" t="str">
        <f>V22/S22</f>
        <v>0</v>
      </c>
      <c r="X22" s="36"/>
      <c r="Y22"/>
      <c r="Z22"/>
      <c r="AA22" s="36">
        <v>3.5</v>
      </c>
      <c r="AB22" s="28"/>
      <c r="AC22" s="28"/>
      <c r="AD22" s="28" t="str">
        <f>SUM(AD23,AD27,AD32)</f>
        <v>0</v>
      </c>
      <c r="AE22" s="28" t="str">
        <f>AD22/AA22</f>
        <v>0</v>
      </c>
      <c r="AF22" s="36"/>
      <c r="AG22"/>
      <c r="AH22"/>
      <c r="AI22" s="36">
        <v>3.5</v>
      </c>
      <c r="AJ22" s="28"/>
      <c r="AK22" s="28"/>
      <c r="AL22" s="28" t="str">
        <f>SUM(AL23,AL27,AL32)</f>
        <v>0</v>
      </c>
      <c r="AM22" s="28" t="str">
        <f>AL22/AI22</f>
        <v>0</v>
      </c>
      <c r="AN22" s="36"/>
    </row>
    <row r="23" spans="1:40">
      <c r="B23" s="22"/>
      <c r="C23" s="22"/>
      <c r="D23" s="22"/>
      <c r="E23" s="22" t="s">
        <v>18</v>
      </c>
      <c r="F23" s="22" t="s">
        <v>107</v>
      </c>
      <c r="G23" s="22"/>
      <c r="H23" s="27">
        <v>1</v>
      </c>
      <c r="I23" s="22"/>
      <c r="J23" s="27"/>
      <c r="K23" s="27"/>
      <c r="L23" s="27" t="str">
        <f>AVERAGE(L24:L26)*H23</f>
        <v>0</v>
      </c>
      <c r="M23" s="27" t="str">
        <f>L23/H23</f>
        <v>0</v>
      </c>
      <c r="N23" s="1"/>
      <c r="O23" s="22"/>
      <c r="P23" s="22"/>
      <c r="Q23" s="34"/>
      <c r="R23"/>
      <c r="S23" s="36">
        <v>1</v>
      </c>
      <c r="T23" s="28"/>
      <c r="U23" s="28"/>
      <c r="V23" s="28" t="str">
        <f>AVERAGE(V24:V26)*S23</f>
        <v>0</v>
      </c>
      <c r="W23" s="28" t="str">
        <f>V23/S23</f>
        <v>0</v>
      </c>
      <c r="X23" s="36"/>
      <c r="Y23"/>
      <c r="Z23"/>
      <c r="AA23" s="36">
        <v>1</v>
      </c>
      <c r="AB23" s="28"/>
      <c r="AC23" s="28"/>
      <c r="AD23" s="28" t="str">
        <f>AVERAGE(AD24:AD26)*AA23</f>
        <v>0</v>
      </c>
      <c r="AE23" s="28" t="str">
        <f>AD23/AA23</f>
        <v>0</v>
      </c>
      <c r="AF23" s="36"/>
      <c r="AG23"/>
      <c r="AH23"/>
      <c r="AI23" s="36">
        <v>1</v>
      </c>
      <c r="AJ23" s="28"/>
      <c r="AK23" s="28"/>
      <c r="AL23" s="28" t="str">
        <f>AVERAGE(AL24:AL26)*AI23</f>
        <v>0</v>
      </c>
      <c r="AM23" s="28" t="str">
        <f>AL23/AI23</f>
        <v>0</v>
      </c>
      <c r="AN23" s="36"/>
    </row>
    <row r="24" spans="1:40">
      <c r="A24" t="s">
        <v>20</v>
      </c>
      <c r="B24" s="23"/>
      <c r="C24" s="23"/>
      <c r="D24" s="23"/>
      <c r="E24" s="23"/>
      <c r="F24" s="23" t="s">
        <v>21</v>
      </c>
      <c r="G24" s="23" t="s">
        <v>108</v>
      </c>
      <c r="H24" s="28"/>
      <c r="I24" s="23" t="s">
        <v>109</v>
      </c>
      <c r="J24" s="28" t="s">
        <v>63</v>
      </c>
      <c r="K24" s="29" t="s">
        <v>34</v>
      </c>
      <c r="L24" s="28" t="str">
        <f>IF(J24="Ya/Tidak",IF(K24="Ya",1,IF(K24="Tidak",0,"Blm Diisi")),IF(J24="A/B/C",IF(K24="A",1,IF(K24="B",0.5,IF(K24="C",0,"Blm Diisi"))),IF(J24="A/B/C/D",IF(K24="A",1,IF(K24="B",0.67,IF(K24="C",0.33,IF(K24="D",0,"Blm Diisi")))),IF(J24="A/B/C/D/E",IF(K24="A",1,IF(K24="B",0.75,IF(K24="C",0.5,IF(K24="D",0.25,IF(K24="E",0,"Blm Diisi"))))),IF(J24="%",IF(K24="","Blm Diisi",K24),IF(J24="Jumlah",IF(K24="","Blm Diisi",""),IF(J24="Rupiah",IF(K24="","Blm Diisi",""),IF(J24="","","-"))))))))</f>
        <v>0</v>
      </c>
      <c r="M24" s="28"/>
      <c r="O24" s="30" t="s">
        <v>110</v>
      </c>
      <c r="P24" s="30" t="s">
        <v>111</v>
      </c>
      <c r="Q24" s="35" t="s">
        <v>112</v>
      </c>
      <c r="R24"/>
      <c r="S24" s="36"/>
      <c r="T24" s="28" t="s">
        <v>63</v>
      </c>
      <c r="U24" s="28" t="s">
        <v>34</v>
      </c>
      <c r="V24" s="28" t="str">
        <f>IF(T24="Ya/Tidak",IF(U24="Ya",1,IF(U24="Tidak",0,"Blm Diisi")),IF(T24="A/B/C",IF(U24="A",1,IF(U24="B",0.5,IF(U24="C",0,"Blm Diisi"))),IF(T24="A/B/C/D",IF(U24="A",1,IF(U24="B",0.67,IF(U24="C",0.33,IF(U24="D",0,"Blm Diisi")))),IF(T24="A/B/C/D/E",IF(U24="A",1,IF(U24="B",0.75,IF(U24="C",0.5,IF(U24="D",0.25,IF(U24="E",0,"Blm Diisi"))))),IF(T24="%",IF(U24="","Blm Diisi",U24),IF(T24="Jumlah",IF(U24="","Blm Diisi",""),IF(T24="Rupiah",IF(U24="","Blm Diisi",""),IF(T24="","","-"))))))))</f>
        <v>0</v>
      </c>
      <c r="W24" s="28"/>
      <c r="X24" s="36" t="s">
        <v>113</v>
      </c>
      <c r="Y24"/>
      <c r="Z24"/>
      <c r="AA24" s="36"/>
      <c r="AB24" s="28" t="s">
        <v>63</v>
      </c>
      <c r="AC24" s="28"/>
      <c r="AD24" s="28" t="str">
        <f>IF(AB24="Ya/Tidak",IF(AC24="Ya",1,IF(AC24="Tidak",0,"Blm Diisi")),IF(AB24="A/B/C",IF(AC24="A",1,IF(AC24="B",0.5,IF(AC24="C",0,"Blm Diisi"))),IF(AB24="A/B/C/D",IF(AC24="A",1,IF(AC24="B",0.67,IF(AC24="C",0.33,IF(AC24="D",0,"Blm Diisi")))),IF(AB24="A/B/C/D/E",IF(AC24="A",1,IF(AC24="B",0.75,IF(AC24="C",0.5,IF(AC24="D",0.25,IF(AC24="E",0,"Blm Diisi"))))),IF(AB24="%",IF(AC24="","Blm Diisi",AC24),IF(AB24="Jumlah",IF(AC24="","Blm Diisi",""),IF(AB24="Rupiah",IF(AC24="","Blm Diisi",""),IF(AB24="","","-"))))))))</f>
        <v>0</v>
      </c>
      <c r="AE24" s="28"/>
      <c r="AF24" s="36"/>
      <c r="AG24"/>
      <c r="AH24"/>
      <c r="AI24" s="36"/>
      <c r="AJ24" s="28" t="s">
        <v>63</v>
      </c>
      <c r="AK24" s="28"/>
      <c r="AL24" s="28" t="str">
        <f>IF(AJ24="Ya/Tidak",IF(AK24="Ya",1,IF(AK24="Tidak",0,"Blm Diisi")),IF(AJ24="A/B/C",IF(AK24="A",1,IF(AK24="B",0.5,IF(AK24="C",0,"Blm Diisi"))),IF(AJ24="A/B/C/D",IF(AK24="A",1,IF(AK24="B",0.67,IF(AK24="C",0.33,IF(AK24="D",0,"Blm Diisi")))),IF(AJ24="A/B/C/D/E",IF(AK24="A",1,IF(AK24="B",0.75,IF(AK24="C",0.5,IF(AK24="D",0.25,IF(AK24="E",0,"Blm Diisi"))))),IF(AJ24="%",IF(AK24="","Blm Diisi",AK24),IF(AJ24="Jumlah",IF(AK24="","Blm Diisi",""),IF(AJ24="Rupiah",IF(AK24="","Blm Diisi",""),IF(AJ24="","","-"))))))))</f>
        <v>0</v>
      </c>
      <c r="AM24" s="28"/>
      <c r="AN24" s="36"/>
    </row>
    <row r="25" spans="1:40">
      <c r="A25" t="s">
        <v>20</v>
      </c>
      <c r="B25" s="23"/>
      <c r="C25" s="23"/>
      <c r="D25" s="23"/>
      <c r="E25" s="23"/>
      <c r="F25" s="23" t="s">
        <v>30</v>
      </c>
      <c r="G25" s="23" t="s">
        <v>114</v>
      </c>
      <c r="H25" s="28"/>
      <c r="I25" s="23" t="s">
        <v>115</v>
      </c>
      <c r="J25" s="28" t="s">
        <v>116</v>
      </c>
      <c r="K25" s="29" t="s">
        <v>34</v>
      </c>
      <c r="L25" s="28" t="str">
        <f>IF(J25="Ya/Tidak",IF(K25="Ya",1,IF(K25="Tidak",0,"Blm Diisi")),IF(J25="A/B/C",IF(K25="A",1,IF(K25="B",0.5,IF(K25="C",0,"Blm Diisi"))),IF(J25="A/B/C/D",IF(K25="A",1,IF(K25="B",0.67,IF(K25="C",0.33,IF(K25="D",0,"Blm Diisi")))),IF(J25="A/B/C/D/E",IF(K25="A",1,IF(K25="B",0.75,IF(K25="C",0.5,IF(K25="D",0.25,IF(K25="E",0,"Blm Diisi"))))),IF(J25="%",IF(K25="","Blm Diisi",K25),IF(J25="Jumlah",IF(K25="","Blm Diisi",""),IF(J25="Rupiah",IF(K25="","Blm Diisi",""),IF(J25="","","-"))))))))</f>
        <v>0</v>
      </c>
      <c r="M25" s="28"/>
      <c r="O25" s="30" t="s">
        <v>117</v>
      </c>
      <c r="P25" s="30" t="s">
        <v>118</v>
      </c>
      <c r="Q25" s="35" t="s">
        <v>119</v>
      </c>
      <c r="R25"/>
      <c r="S25" s="36"/>
      <c r="T25" s="28" t="s">
        <v>116</v>
      </c>
      <c r="U25" s="28" t="s">
        <v>34</v>
      </c>
      <c r="V25" s="28" t="str">
        <f>IF(T25="Ya/Tidak",IF(U25="Ya",1,IF(U25="Tidak",0,"Blm Diisi")),IF(T25="A/B/C",IF(U25="A",1,IF(U25="B",0.5,IF(U25="C",0,"Blm Diisi"))),IF(T25="A/B/C/D",IF(U25="A",1,IF(U25="B",0.67,IF(U25="C",0.33,IF(U25="D",0,"Blm Diisi")))),IF(T25="A/B/C/D/E",IF(U25="A",1,IF(U25="B",0.75,IF(U25="C",0.5,IF(U25="D",0.25,IF(U25="E",0,"Blm Diisi"))))),IF(T25="%",IF(U25="","Blm Diisi",U25),IF(T25="Jumlah",IF(U25="","Blm Diisi",""),IF(T25="Rupiah",IF(U25="","Blm Diisi",""),IF(T25="","","-"))))))))</f>
        <v>0</v>
      </c>
      <c r="W25" s="28"/>
      <c r="X25" s="36" t="s">
        <v>120</v>
      </c>
      <c r="Y25"/>
      <c r="Z25"/>
      <c r="AA25" s="36"/>
      <c r="AB25" s="28" t="s">
        <v>116</v>
      </c>
      <c r="AC25" s="28"/>
      <c r="AD25" s="28" t="str">
        <f>IF(AB25="Ya/Tidak",IF(AC25="Ya",1,IF(AC25="Tidak",0,"Blm Diisi")),IF(AB25="A/B/C",IF(AC25="A",1,IF(AC25="B",0.5,IF(AC25="C",0,"Blm Diisi"))),IF(AB25="A/B/C/D",IF(AC25="A",1,IF(AC25="B",0.67,IF(AC25="C",0.33,IF(AC25="D",0,"Blm Diisi")))),IF(AB25="A/B/C/D/E",IF(AC25="A",1,IF(AC25="B",0.75,IF(AC25="C",0.5,IF(AC25="D",0.25,IF(AC25="E",0,"Blm Diisi"))))),IF(AB25="%",IF(AC25="","Blm Diisi",AC25),IF(AB25="Jumlah",IF(AC25="","Blm Diisi",""),IF(AB25="Rupiah",IF(AC25="","Blm Diisi",""),IF(AB25="","","-"))))))))</f>
        <v>0</v>
      </c>
      <c r="AE25" s="28"/>
      <c r="AF25" s="36"/>
      <c r="AG25"/>
      <c r="AH25"/>
      <c r="AI25" s="36"/>
      <c r="AJ25" s="28" t="s">
        <v>116</v>
      </c>
      <c r="AK25" s="28"/>
      <c r="AL25" s="28" t="str">
        <f>IF(AJ25="Ya/Tidak",IF(AK25="Ya",1,IF(AK25="Tidak",0,"Blm Diisi")),IF(AJ25="A/B/C",IF(AK25="A",1,IF(AK25="B",0.5,IF(AK25="C",0,"Blm Diisi"))),IF(AJ25="A/B/C/D",IF(AK25="A",1,IF(AK25="B",0.67,IF(AK25="C",0.33,IF(AK25="D",0,"Blm Diisi")))),IF(AJ25="A/B/C/D/E",IF(AK25="A",1,IF(AK25="B",0.75,IF(AK25="C",0.5,IF(AK25="D",0.25,IF(AK25="E",0,"Blm Diisi"))))),IF(AJ25="%",IF(AK25="","Blm Diisi",AK25),IF(AJ25="Jumlah",IF(AK25="","Blm Diisi",""),IF(AJ25="Rupiah",IF(AK25="","Blm Diisi",""),IF(AJ25="","","-"))))))))</f>
        <v>0</v>
      </c>
      <c r="AM25" s="28"/>
      <c r="AN25" s="36"/>
    </row>
    <row r="26" spans="1:40">
      <c r="A26" t="s">
        <v>20</v>
      </c>
      <c r="B26" s="23"/>
      <c r="C26" s="23"/>
      <c r="D26" s="23"/>
      <c r="E26" s="23"/>
      <c r="F26" s="23" t="s">
        <v>52</v>
      </c>
      <c r="G26" s="23" t="s">
        <v>121</v>
      </c>
      <c r="H26" s="28"/>
      <c r="I26" s="23" t="s">
        <v>122</v>
      </c>
      <c r="J26" s="28" t="s">
        <v>116</v>
      </c>
      <c r="K26" s="29" t="s">
        <v>34</v>
      </c>
      <c r="L26" s="28" t="str">
        <f>IF(J26="Ya/Tidak",IF(K26="Ya",1,IF(K26="Tidak",0,"Blm Diisi")),IF(J26="A/B/C",IF(K26="A",1,IF(K26="B",0.5,IF(K26="C",0,"Blm Diisi"))),IF(J26="A/B/C/D",IF(K26="A",1,IF(K26="B",0.67,IF(K26="C",0.33,IF(K26="D",0,"Blm Diisi")))),IF(J26="A/B/C/D/E",IF(K26="A",1,IF(K26="B",0.75,IF(K26="C",0.5,IF(K26="D",0.25,IF(K26="E",0,"Blm Diisi"))))),IF(J26="%",IF(K26="","Blm Diisi",K26),IF(J26="Jumlah",IF(K26="","Blm Diisi",""),IF(J26="Rupiah",IF(K26="","Blm Diisi",""),IF(J26="","","-"))))))))</f>
        <v>0</v>
      </c>
      <c r="M26" s="28"/>
      <c r="O26" s="30" t="s">
        <v>123</v>
      </c>
      <c r="P26" s="30" t="s">
        <v>124</v>
      </c>
      <c r="Q26" s="35" t="s">
        <v>125</v>
      </c>
      <c r="R26"/>
      <c r="S26" s="36"/>
      <c r="T26" s="28" t="s">
        <v>116</v>
      </c>
      <c r="U26" s="28" t="s">
        <v>34</v>
      </c>
      <c r="V26" s="28" t="str">
        <f>IF(T26="Ya/Tidak",IF(U26="Ya",1,IF(U26="Tidak",0,"Blm Diisi")),IF(T26="A/B/C",IF(U26="A",1,IF(U26="B",0.5,IF(U26="C",0,"Blm Diisi"))),IF(T26="A/B/C/D",IF(U26="A",1,IF(U26="B",0.67,IF(U26="C",0.33,IF(U26="D",0,"Blm Diisi")))),IF(T26="A/B/C/D/E",IF(U26="A",1,IF(U26="B",0.75,IF(U26="C",0.5,IF(U26="D",0.25,IF(U26="E",0,"Blm Diisi"))))),IF(T26="%",IF(U26="","Blm Diisi",U26),IF(T26="Jumlah",IF(U26="","Blm Diisi",""),IF(T26="Rupiah",IF(U26="","Blm Diisi",""),IF(T26="","","-"))))))))</f>
        <v>0</v>
      </c>
      <c r="W26" s="28"/>
      <c r="X26" s="36" t="s">
        <v>126</v>
      </c>
      <c r="Y26"/>
      <c r="Z26"/>
      <c r="AA26" s="36"/>
      <c r="AB26" s="28" t="s">
        <v>116</v>
      </c>
      <c r="AC26" s="28"/>
      <c r="AD26" s="28" t="str">
        <f>IF(AB26="Ya/Tidak",IF(AC26="Ya",1,IF(AC26="Tidak",0,"Blm Diisi")),IF(AB26="A/B/C",IF(AC26="A",1,IF(AC26="B",0.5,IF(AC26="C",0,"Blm Diisi"))),IF(AB26="A/B/C/D",IF(AC26="A",1,IF(AC26="B",0.67,IF(AC26="C",0.33,IF(AC26="D",0,"Blm Diisi")))),IF(AB26="A/B/C/D/E",IF(AC26="A",1,IF(AC26="B",0.75,IF(AC26="C",0.5,IF(AC26="D",0.25,IF(AC26="E",0,"Blm Diisi"))))),IF(AB26="%",IF(AC26="","Blm Diisi",AC26),IF(AB26="Jumlah",IF(AC26="","Blm Diisi",""),IF(AB26="Rupiah",IF(AC26="","Blm Diisi",""),IF(AB26="","","-"))))))))</f>
        <v>0</v>
      </c>
      <c r="AE26" s="28"/>
      <c r="AF26" s="36"/>
      <c r="AG26"/>
      <c r="AH26"/>
      <c r="AI26" s="36"/>
      <c r="AJ26" s="28" t="s">
        <v>116</v>
      </c>
      <c r="AK26" s="28"/>
      <c r="AL26" s="28" t="str">
        <f>IF(AJ26="Ya/Tidak",IF(AK26="Ya",1,IF(AK26="Tidak",0,"Blm Diisi")),IF(AJ26="A/B/C",IF(AK26="A",1,IF(AK26="B",0.5,IF(AK26="C",0,"Blm Diisi"))),IF(AJ26="A/B/C/D",IF(AK26="A",1,IF(AK26="B",0.67,IF(AK26="C",0.33,IF(AK26="D",0,"Blm Diisi")))),IF(AJ26="A/B/C/D/E",IF(AK26="A",1,IF(AK26="B",0.75,IF(AK26="C",0.5,IF(AK26="D",0.25,IF(AK26="E",0,"Blm Diisi"))))),IF(AJ26="%",IF(AK26="","Blm Diisi",AK26),IF(AJ26="Jumlah",IF(AK26="","Blm Diisi",""),IF(AJ26="Rupiah",IF(AK26="","Blm Diisi",""),IF(AJ26="","","-"))))))))</f>
        <v>0</v>
      </c>
      <c r="AM26" s="28"/>
      <c r="AN26" s="36"/>
    </row>
    <row r="27" spans="1:40">
      <c r="B27" s="22"/>
      <c r="C27" s="22"/>
      <c r="D27" s="22"/>
      <c r="E27" s="22" t="s">
        <v>40</v>
      </c>
      <c r="F27" s="22" t="s">
        <v>127</v>
      </c>
      <c r="G27" s="22"/>
      <c r="H27" s="27">
        <v>2</v>
      </c>
      <c r="I27" s="22"/>
      <c r="J27" s="27"/>
      <c r="K27" s="27"/>
      <c r="L27" s="27" t="str">
        <f>AVERAGE(L28:L31)*H27</f>
        <v>0</v>
      </c>
      <c r="M27" s="27" t="str">
        <f>L27/H27</f>
        <v>0</v>
      </c>
      <c r="N27" s="1"/>
      <c r="O27" s="22"/>
      <c r="P27" s="22"/>
      <c r="Q27" s="34"/>
      <c r="R27"/>
      <c r="S27" s="36">
        <v>2</v>
      </c>
      <c r="T27" s="28"/>
      <c r="U27" s="28"/>
      <c r="V27" s="28" t="str">
        <f>AVERAGE(V28:V31)*S27</f>
        <v>0</v>
      </c>
      <c r="W27" s="28" t="str">
        <f>V27/S27</f>
        <v>0</v>
      </c>
      <c r="X27" s="36"/>
      <c r="Y27"/>
      <c r="Z27"/>
      <c r="AA27" s="36">
        <v>2</v>
      </c>
      <c r="AB27" s="28"/>
      <c r="AC27" s="28"/>
      <c r="AD27" s="28" t="str">
        <f>AVERAGE(AD28:AD31)*AA27</f>
        <v>0</v>
      </c>
      <c r="AE27" s="28" t="str">
        <f>AD27/AA27</f>
        <v>0</v>
      </c>
      <c r="AF27" s="36"/>
      <c r="AG27"/>
      <c r="AH27"/>
      <c r="AI27" s="36">
        <v>2</v>
      </c>
      <c r="AJ27" s="28"/>
      <c r="AK27" s="28"/>
      <c r="AL27" s="28" t="str">
        <f>AVERAGE(AL28:AL31)*AI27</f>
        <v>0</v>
      </c>
      <c r="AM27" s="28" t="str">
        <f>AL27/AI27</f>
        <v>0</v>
      </c>
      <c r="AN27" s="36"/>
    </row>
    <row r="28" spans="1:40">
      <c r="A28" t="s">
        <v>20</v>
      </c>
      <c r="B28" s="23"/>
      <c r="C28" s="23"/>
      <c r="D28" s="23"/>
      <c r="E28" s="23"/>
      <c r="F28" s="23" t="s">
        <v>21</v>
      </c>
      <c r="G28" s="23" t="s">
        <v>128</v>
      </c>
      <c r="H28" s="28"/>
      <c r="I28" s="23" t="s">
        <v>129</v>
      </c>
      <c r="J28" s="28" t="s">
        <v>33</v>
      </c>
      <c r="K28" s="29" t="s">
        <v>34</v>
      </c>
      <c r="L28" s="28" t="str">
        <f>IF(J28="Ya/Tidak",IF(K28="Ya",1,IF(K28="Tidak",0,"Blm Diisi")),IF(J28="A/B/C",IF(K28="A",1,IF(K28="B",0.5,IF(K28="C",0,"Blm Diisi"))),IF(J28="A/B/C/D",IF(K28="A",1,IF(K28="B",0.67,IF(K28="C",0.33,IF(K28="D",0,"Blm Diisi")))),IF(J28="A/B/C/D/E",IF(K28="A",1,IF(K28="B",0.75,IF(K28="C",0.5,IF(K28="D",0.25,IF(K28="E",0,"Blm Diisi"))))),IF(J28="%",IF(K28="","Blm Diisi",K28),IF(J28="Jumlah",IF(K28="","Blm Diisi",""),IF(J28="Rupiah",IF(K28="","Blm Diisi",""),IF(J28="","","-"))))))))</f>
        <v>0</v>
      </c>
      <c r="M28" s="28"/>
      <c r="O28" s="30" t="s">
        <v>130</v>
      </c>
      <c r="P28" s="30" t="s">
        <v>131</v>
      </c>
      <c r="Q28" s="35" t="s">
        <v>132</v>
      </c>
      <c r="R28"/>
      <c r="S28" s="36"/>
      <c r="T28" s="28" t="s">
        <v>33</v>
      </c>
      <c r="U28" s="28" t="s">
        <v>34</v>
      </c>
      <c r="V28" s="28" t="str">
        <f>IF(T28="Ya/Tidak",IF(U28="Ya",1,IF(U28="Tidak",0,"Blm Diisi")),IF(T28="A/B/C",IF(U28="A",1,IF(U28="B",0.5,IF(U28="C",0,"Blm Diisi"))),IF(T28="A/B/C/D",IF(U28="A",1,IF(U28="B",0.67,IF(U28="C",0.33,IF(U28="D",0,"Blm Diisi")))),IF(T28="A/B/C/D/E",IF(U28="A",1,IF(U28="B",0.75,IF(U28="C",0.5,IF(U28="D",0.25,IF(U28="E",0,"Blm Diisi"))))),IF(T28="%",IF(U28="","Blm Diisi",U28),IF(T28="Jumlah",IF(U28="","Blm Diisi",""),IF(T28="Rupiah",IF(U28="","Blm Diisi",""),IF(T28="","","-"))))))))</f>
        <v>0</v>
      </c>
      <c r="W28" s="28"/>
      <c r="X28" s="36" t="s">
        <v>133</v>
      </c>
      <c r="Y28"/>
      <c r="Z28"/>
      <c r="AA28" s="36"/>
      <c r="AB28" s="28" t="s">
        <v>33</v>
      </c>
      <c r="AC28" s="28"/>
      <c r="AD28" s="28" t="str">
        <f>IF(AB28="Ya/Tidak",IF(AC28="Ya",1,IF(AC28="Tidak",0,"Blm Diisi")),IF(AB28="A/B/C",IF(AC28="A",1,IF(AC28="B",0.5,IF(AC28="C",0,"Blm Diisi"))),IF(AB28="A/B/C/D",IF(AC28="A",1,IF(AC28="B",0.67,IF(AC28="C",0.33,IF(AC28="D",0,"Blm Diisi")))),IF(AB28="A/B/C/D/E",IF(AC28="A",1,IF(AC28="B",0.75,IF(AC28="C",0.5,IF(AC28="D",0.25,IF(AC28="E",0,"Blm Diisi"))))),IF(AB28="%",IF(AC28="","Blm Diisi",AC28),IF(AB28="Jumlah",IF(AC28="","Blm Diisi",""),IF(AB28="Rupiah",IF(AC28="","Blm Diisi",""),IF(AB28="","","-"))))))))</f>
        <v>0</v>
      </c>
      <c r="AE28" s="28"/>
      <c r="AF28" s="36"/>
      <c r="AG28"/>
      <c r="AH28"/>
      <c r="AI28" s="36"/>
      <c r="AJ28" s="28" t="s">
        <v>33</v>
      </c>
      <c r="AK28" s="28"/>
      <c r="AL28" s="28" t="str">
        <f>IF(AJ28="Ya/Tidak",IF(AK28="Ya",1,IF(AK28="Tidak",0,"Blm Diisi")),IF(AJ28="A/B/C",IF(AK28="A",1,IF(AK28="B",0.5,IF(AK28="C",0,"Blm Diisi"))),IF(AJ28="A/B/C/D",IF(AK28="A",1,IF(AK28="B",0.67,IF(AK28="C",0.33,IF(AK28="D",0,"Blm Diisi")))),IF(AJ28="A/B/C/D/E",IF(AK28="A",1,IF(AK28="B",0.75,IF(AK28="C",0.5,IF(AK28="D",0.25,IF(AK28="E",0,"Blm Diisi"))))),IF(AJ28="%",IF(AK28="","Blm Diisi",AK28),IF(AJ28="Jumlah",IF(AK28="","Blm Diisi",""),IF(AJ28="Rupiah",IF(AK28="","Blm Diisi",""),IF(AJ28="","","-"))))))))</f>
        <v>0</v>
      </c>
      <c r="AM28" s="28"/>
      <c r="AN28" s="36"/>
    </row>
    <row r="29" spans="1:40">
      <c r="A29" t="s">
        <v>20</v>
      </c>
      <c r="B29" s="23"/>
      <c r="C29" s="23"/>
      <c r="D29" s="23"/>
      <c r="E29" s="23"/>
      <c r="F29" s="23" t="s">
        <v>30</v>
      </c>
      <c r="G29" s="23" t="s">
        <v>134</v>
      </c>
      <c r="H29" s="28"/>
      <c r="I29" s="23" t="s">
        <v>135</v>
      </c>
      <c r="J29" s="28" t="s">
        <v>33</v>
      </c>
      <c r="K29" s="29" t="s">
        <v>34</v>
      </c>
      <c r="L29" s="28" t="str">
        <f>IF(J29="Ya/Tidak",IF(K29="Ya",1,IF(K29="Tidak",0,"Blm Diisi")),IF(J29="A/B/C",IF(K29="A",1,IF(K29="B",0.5,IF(K29="C",0,"Blm Diisi"))),IF(J29="A/B/C/D",IF(K29="A",1,IF(K29="B",0.67,IF(K29="C",0.33,IF(K29="D",0,"Blm Diisi")))),IF(J29="A/B/C/D/E",IF(K29="A",1,IF(K29="B",0.75,IF(K29="C",0.5,IF(K29="D",0.25,IF(K29="E",0,"Blm Diisi"))))),IF(J29="%",IF(K29="","Blm Diisi",K29),IF(J29="Jumlah",IF(K29="","Blm Diisi",""),IF(J29="Rupiah",IF(K29="","Blm Diisi",""),IF(J29="","","-"))))))))</f>
        <v>0</v>
      </c>
      <c r="M29" s="28"/>
      <c r="O29" s="30" t="s">
        <v>136</v>
      </c>
      <c r="P29" s="30" t="s">
        <v>137</v>
      </c>
      <c r="Q29" s="35" t="s">
        <v>138</v>
      </c>
      <c r="R29"/>
      <c r="S29" s="36"/>
      <c r="T29" s="28" t="s">
        <v>33</v>
      </c>
      <c r="U29" s="28" t="s">
        <v>34</v>
      </c>
      <c r="V29" s="28" t="str">
        <f>IF(T29="Ya/Tidak",IF(U29="Ya",1,IF(U29="Tidak",0,"Blm Diisi")),IF(T29="A/B/C",IF(U29="A",1,IF(U29="B",0.5,IF(U29="C",0,"Blm Diisi"))),IF(T29="A/B/C/D",IF(U29="A",1,IF(U29="B",0.67,IF(U29="C",0.33,IF(U29="D",0,"Blm Diisi")))),IF(T29="A/B/C/D/E",IF(U29="A",1,IF(U29="B",0.75,IF(U29="C",0.5,IF(U29="D",0.25,IF(U29="E",0,"Blm Diisi"))))),IF(T29="%",IF(U29="","Blm Diisi",U29),IF(T29="Jumlah",IF(U29="","Blm Diisi",""),IF(T29="Rupiah",IF(U29="","Blm Diisi",""),IF(T29="","","-"))))))))</f>
        <v>0</v>
      </c>
      <c r="W29" s="28"/>
      <c r="X29" s="36" t="s">
        <v>139</v>
      </c>
      <c r="Y29"/>
      <c r="Z29"/>
      <c r="AA29" s="36"/>
      <c r="AB29" s="28" t="s">
        <v>33</v>
      </c>
      <c r="AC29" s="28"/>
      <c r="AD29" s="28" t="str">
        <f>IF(AB29="Ya/Tidak",IF(AC29="Ya",1,IF(AC29="Tidak",0,"Blm Diisi")),IF(AB29="A/B/C",IF(AC29="A",1,IF(AC29="B",0.5,IF(AC29="C",0,"Blm Diisi"))),IF(AB29="A/B/C/D",IF(AC29="A",1,IF(AC29="B",0.67,IF(AC29="C",0.33,IF(AC29="D",0,"Blm Diisi")))),IF(AB29="A/B/C/D/E",IF(AC29="A",1,IF(AC29="B",0.75,IF(AC29="C",0.5,IF(AC29="D",0.25,IF(AC29="E",0,"Blm Diisi"))))),IF(AB29="%",IF(AC29="","Blm Diisi",AC29),IF(AB29="Jumlah",IF(AC29="","Blm Diisi",""),IF(AB29="Rupiah",IF(AC29="","Blm Diisi",""),IF(AB29="","","-"))))))))</f>
        <v>0</v>
      </c>
      <c r="AE29" s="28"/>
      <c r="AF29" s="36"/>
      <c r="AG29"/>
      <c r="AH29"/>
      <c r="AI29" s="36"/>
      <c r="AJ29" s="28" t="s">
        <v>33</v>
      </c>
      <c r="AK29" s="28"/>
      <c r="AL29" s="28" t="str">
        <f>IF(AJ29="Ya/Tidak",IF(AK29="Ya",1,IF(AK29="Tidak",0,"Blm Diisi")),IF(AJ29="A/B/C",IF(AK29="A",1,IF(AK29="B",0.5,IF(AK29="C",0,"Blm Diisi"))),IF(AJ29="A/B/C/D",IF(AK29="A",1,IF(AK29="B",0.67,IF(AK29="C",0.33,IF(AK29="D",0,"Blm Diisi")))),IF(AJ29="A/B/C/D/E",IF(AK29="A",1,IF(AK29="B",0.75,IF(AK29="C",0.5,IF(AK29="D",0.25,IF(AK29="E",0,"Blm Diisi"))))),IF(AJ29="%",IF(AK29="","Blm Diisi",AK29),IF(AJ29="Jumlah",IF(AK29="","Blm Diisi",""),IF(AJ29="Rupiah",IF(AK29="","Blm Diisi",""),IF(AJ29="","","-"))))))))</f>
        <v>0</v>
      </c>
      <c r="AM29" s="28"/>
      <c r="AN29" s="36"/>
    </row>
    <row r="30" spans="1:40">
      <c r="A30" t="s">
        <v>20</v>
      </c>
      <c r="B30" s="23"/>
      <c r="C30" s="23"/>
      <c r="D30" s="23"/>
      <c r="E30" s="23"/>
      <c r="F30" s="23" t="s">
        <v>52</v>
      </c>
      <c r="G30" s="23" t="s">
        <v>140</v>
      </c>
      <c r="H30" s="28"/>
      <c r="I30" s="23" t="s">
        <v>141</v>
      </c>
      <c r="J30" s="28" t="s">
        <v>33</v>
      </c>
      <c r="K30" s="29" t="s">
        <v>34</v>
      </c>
      <c r="L30" s="28" t="str">
        <f>IF(J30="Ya/Tidak",IF(K30="Ya",1,IF(K30="Tidak",0,"Blm Diisi")),IF(J30="A/B/C",IF(K30="A",1,IF(K30="B",0.5,IF(K30="C",0,"Blm Diisi"))),IF(J30="A/B/C/D",IF(K30="A",1,IF(K30="B",0.67,IF(K30="C",0.33,IF(K30="D",0,"Blm Diisi")))),IF(J30="A/B/C/D/E",IF(K30="A",1,IF(K30="B",0.75,IF(K30="C",0.5,IF(K30="D",0.25,IF(K30="E",0,"Blm Diisi"))))),IF(J30="%",IF(K30="","Blm Diisi",K30),IF(J30="Jumlah",IF(K30="","Blm Diisi",""),IF(J30="Rupiah",IF(K30="","Blm Diisi",""),IF(J30="","","-"))))))))</f>
        <v>0</v>
      </c>
      <c r="M30" s="28"/>
      <c r="O30" s="30" t="s">
        <v>142</v>
      </c>
      <c r="P30" s="30" t="s">
        <v>143</v>
      </c>
      <c r="Q30" s="35" t="s">
        <v>144</v>
      </c>
      <c r="R30"/>
      <c r="S30" s="36"/>
      <c r="T30" s="28" t="s">
        <v>33</v>
      </c>
      <c r="U30" s="28" t="s">
        <v>34</v>
      </c>
      <c r="V30" s="28" t="str">
        <f>IF(T30="Ya/Tidak",IF(U30="Ya",1,IF(U30="Tidak",0,"Blm Diisi")),IF(T30="A/B/C",IF(U30="A",1,IF(U30="B",0.5,IF(U30="C",0,"Blm Diisi"))),IF(T30="A/B/C/D",IF(U30="A",1,IF(U30="B",0.67,IF(U30="C",0.33,IF(U30="D",0,"Blm Diisi")))),IF(T30="A/B/C/D/E",IF(U30="A",1,IF(U30="B",0.75,IF(U30="C",0.5,IF(U30="D",0.25,IF(U30="E",0,"Blm Diisi"))))),IF(T30="%",IF(U30="","Blm Diisi",U30),IF(T30="Jumlah",IF(U30="","Blm Diisi",""),IF(T30="Rupiah",IF(U30="","Blm Diisi",""),IF(T30="","","-"))))))))</f>
        <v>0</v>
      </c>
      <c r="W30" s="28"/>
      <c r="X30" s="36" t="s">
        <v>145</v>
      </c>
      <c r="Y30"/>
      <c r="Z30"/>
      <c r="AA30" s="36"/>
      <c r="AB30" s="28" t="s">
        <v>33</v>
      </c>
      <c r="AC30" s="28"/>
      <c r="AD30" s="28" t="str">
        <f>IF(AB30="Ya/Tidak",IF(AC30="Ya",1,IF(AC30="Tidak",0,"Blm Diisi")),IF(AB30="A/B/C",IF(AC30="A",1,IF(AC30="B",0.5,IF(AC30="C",0,"Blm Diisi"))),IF(AB30="A/B/C/D",IF(AC30="A",1,IF(AC30="B",0.67,IF(AC30="C",0.33,IF(AC30="D",0,"Blm Diisi")))),IF(AB30="A/B/C/D/E",IF(AC30="A",1,IF(AC30="B",0.75,IF(AC30="C",0.5,IF(AC30="D",0.25,IF(AC30="E",0,"Blm Diisi"))))),IF(AB30="%",IF(AC30="","Blm Diisi",AC30),IF(AB30="Jumlah",IF(AC30="","Blm Diisi",""),IF(AB30="Rupiah",IF(AC30="","Blm Diisi",""),IF(AB30="","","-"))))))))</f>
        <v>0</v>
      </c>
      <c r="AE30" s="28"/>
      <c r="AF30" s="36"/>
      <c r="AG30"/>
      <c r="AH30"/>
      <c r="AI30" s="36"/>
      <c r="AJ30" s="28" t="s">
        <v>33</v>
      </c>
      <c r="AK30" s="28"/>
      <c r="AL30" s="28" t="str">
        <f>IF(AJ30="Ya/Tidak",IF(AK30="Ya",1,IF(AK30="Tidak",0,"Blm Diisi")),IF(AJ30="A/B/C",IF(AK30="A",1,IF(AK30="B",0.5,IF(AK30="C",0,"Blm Diisi"))),IF(AJ30="A/B/C/D",IF(AK30="A",1,IF(AK30="B",0.67,IF(AK30="C",0.33,IF(AK30="D",0,"Blm Diisi")))),IF(AJ30="A/B/C/D/E",IF(AK30="A",1,IF(AK30="B",0.75,IF(AK30="C",0.5,IF(AK30="D",0.25,IF(AK30="E",0,"Blm Diisi"))))),IF(AJ30="%",IF(AK30="","Blm Diisi",AK30),IF(AJ30="Jumlah",IF(AK30="","Blm Diisi",""),IF(AJ30="Rupiah",IF(AK30="","Blm Diisi",""),IF(AJ30="","","-"))))))))</f>
        <v>0</v>
      </c>
      <c r="AM30" s="28"/>
      <c r="AN30" s="36"/>
    </row>
    <row r="31" spans="1:40">
      <c r="A31" t="s">
        <v>20</v>
      </c>
      <c r="B31" s="23"/>
      <c r="C31" s="23"/>
      <c r="D31" s="23"/>
      <c r="E31" s="23"/>
      <c r="F31" s="23" t="s">
        <v>146</v>
      </c>
      <c r="G31" s="23" t="s">
        <v>147</v>
      </c>
      <c r="H31" s="28"/>
      <c r="I31" s="23" t="s">
        <v>148</v>
      </c>
      <c r="J31" s="28" t="s">
        <v>33</v>
      </c>
      <c r="K31" s="29" t="s">
        <v>34</v>
      </c>
      <c r="L31" s="28" t="str">
        <f>IF(J31="Ya/Tidak",IF(K31="Ya",1,IF(K31="Tidak",0,"Blm Diisi")),IF(J31="A/B/C",IF(K31="A",1,IF(K31="B",0.5,IF(K31="C",0,"Blm Diisi"))),IF(J31="A/B/C/D",IF(K31="A",1,IF(K31="B",0.67,IF(K31="C",0.33,IF(K31="D",0,"Blm Diisi")))),IF(J31="A/B/C/D/E",IF(K31="A",1,IF(K31="B",0.75,IF(K31="C",0.5,IF(K31="D",0.25,IF(K31="E",0,"Blm Diisi"))))),IF(J31="%",IF(K31="","Blm Diisi",K31),IF(J31="Jumlah",IF(K31="","Blm Diisi",""),IF(J31="Rupiah",IF(K31="","Blm Diisi",""),IF(J31="","","-"))))))))</f>
        <v>0</v>
      </c>
      <c r="M31" s="28"/>
      <c r="O31" s="30" t="s">
        <v>149</v>
      </c>
      <c r="P31" s="30" t="s">
        <v>150</v>
      </c>
      <c r="Q31" s="35" t="s">
        <v>151</v>
      </c>
      <c r="R31"/>
      <c r="S31" s="36"/>
      <c r="T31" s="28" t="s">
        <v>33</v>
      </c>
      <c r="U31" s="28" t="s">
        <v>34</v>
      </c>
      <c r="V31" s="28" t="str">
        <f>IF(T31="Ya/Tidak",IF(U31="Ya",1,IF(U31="Tidak",0,"Blm Diisi")),IF(T31="A/B/C",IF(U31="A",1,IF(U31="B",0.5,IF(U31="C",0,"Blm Diisi"))),IF(T31="A/B/C/D",IF(U31="A",1,IF(U31="B",0.67,IF(U31="C",0.33,IF(U31="D",0,"Blm Diisi")))),IF(T31="A/B/C/D/E",IF(U31="A",1,IF(U31="B",0.75,IF(U31="C",0.5,IF(U31="D",0.25,IF(U31="E",0,"Blm Diisi"))))),IF(T31="%",IF(U31="","Blm Diisi",U31),IF(T31="Jumlah",IF(U31="","Blm Diisi",""),IF(T31="Rupiah",IF(U31="","Blm Diisi",""),IF(T31="","","-"))))))))</f>
        <v>0</v>
      </c>
      <c r="W31" s="28"/>
      <c r="X31" s="36" t="s">
        <v>152</v>
      </c>
      <c r="Y31"/>
      <c r="Z31"/>
      <c r="AA31" s="36"/>
      <c r="AB31" s="28" t="s">
        <v>33</v>
      </c>
      <c r="AC31" s="28"/>
      <c r="AD31" s="28" t="str">
        <f>IF(AB31="Ya/Tidak",IF(AC31="Ya",1,IF(AC31="Tidak",0,"Blm Diisi")),IF(AB31="A/B/C",IF(AC31="A",1,IF(AC31="B",0.5,IF(AC31="C",0,"Blm Diisi"))),IF(AB31="A/B/C/D",IF(AC31="A",1,IF(AC31="B",0.67,IF(AC31="C",0.33,IF(AC31="D",0,"Blm Diisi")))),IF(AB31="A/B/C/D/E",IF(AC31="A",1,IF(AC31="B",0.75,IF(AC31="C",0.5,IF(AC31="D",0.25,IF(AC31="E",0,"Blm Diisi"))))),IF(AB31="%",IF(AC31="","Blm Diisi",AC31),IF(AB31="Jumlah",IF(AC31="","Blm Diisi",""),IF(AB31="Rupiah",IF(AC31="","Blm Diisi",""),IF(AB31="","","-"))))))))</f>
        <v>0</v>
      </c>
      <c r="AE31" s="28"/>
      <c r="AF31" s="36"/>
      <c r="AG31"/>
      <c r="AH31"/>
      <c r="AI31" s="36"/>
      <c r="AJ31" s="28" t="s">
        <v>33</v>
      </c>
      <c r="AK31" s="28"/>
      <c r="AL31" s="28" t="str">
        <f>IF(AJ31="Ya/Tidak",IF(AK31="Ya",1,IF(AK31="Tidak",0,"Blm Diisi")),IF(AJ31="A/B/C",IF(AK31="A",1,IF(AK31="B",0.5,IF(AK31="C",0,"Blm Diisi"))),IF(AJ31="A/B/C/D",IF(AK31="A",1,IF(AK31="B",0.67,IF(AK31="C",0.33,IF(AK31="D",0,"Blm Diisi")))),IF(AJ31="A/B/C/D/E",IF(AK31="A",1,IF(AK31="B",0.75,IF(AK31="C",0.5,IF(AK31="D",0.25,IF(AK31="E",0,"Blm Diisi"))))),IF(AJ31="%",IF(AK31="","Blm Diisi",AK31),IF(AJ31="Jumlah",IF(AK31="","Blm Diisi",""),IF(AJ31="Rupiah",IF(AK31="","Blm Diisi",""),IF(AJ31="","","-"))))))))</f>
        <v>0</v>
      </c>
      <c r="AM31" s="28"/>
      <c r="AN31" s="36"/>
    </row>
    <row r="32" spans="1:40">
      <c r="B32" s="22"/>
      <c r="C32" s="22"/>
      <c r="D32" s="22"/>
      <c r="E32" s="22" t="s">
        <v>59</v>
      </c>
      <c r="F32" s="22" t="s">
        <v>153</v>
      </c>
      <c r="G32" s="22"/>
      <c r="H32" s="27">
        <v>0.5</v>
      </c>
      <c r="I32" s="22"/>
      <c r="J32" s="27"/>
      <c r="K32" s="27"/>
      <c r="L32" s="27" t="str">
        <f>AVERAGE(L33:L34)*H32</f>
        <v>0</v>
      </c>
      <c r="M32" s="27" t="str">
        <f>L32/H32</f>
        <v>0</v>
      </c>
      <c r="N32" s="1"/>
      <c r="O32" s="22"/>
      <c r="P32" s="22"/>
      <c r="Q32" s="34"/>
      <c r="R32"/>
      <c r="S32" s="36">
        <v>0.5</v>
      </c>
      <c r="T32" s="28"/>
      <c r="U32" s="28"/>
      <c r="V32" s="28" t="str">
        <f>AVERAGE(V33:V34)*S32</f>
        <v>0</v>
      </c>
      <c r="W32" s="28" t="str">
        <f>V32/S32</f>
        <v>0</v>
      </c>
      <c r="X32" s="36"/>
      <c r="Y32"/>
      <c r="Z32"/>
      <c r="AA32" s="36">
        <v>0.5</v>
      </c>
      <c r="AB32" s="28"/>
      <c r="AC32" s="28"/>
      <c r="AD32" s="28" t="str">
        <f>AVERAGE(AD33:AD34)*AA32</f>
        <v>0</v>
      </c>
      <c r="AE32" s="28" t="str">
        <f>AD32/AA32</f>
        <v>0</v>
      </c>
      <c r="AF32" s="36"/>
      <c r="AG32"/>
      <c r="AH32"/>
      <c r="AI32" s="36">
        <v>0.5</v>
      </c>
      <c r="AJ32" s="28"/>
      <c r="AK32" s="28"/>
      <c r="AL32" s="28" t="str">
        <f>AVERAGE(AL33:AL34)*AI32</f>
        <v>0</v>
      </c>
      <c r="AM32" s="28" t="str">
        <f>AL32/AI32</f>
        <v>0</v>
      </c>
      <c r="AN32" s="36"/>
    </row>
    <row r="33" spans="1:40">
      <c r="A33" t="s">
        <v>20</v>
      </c>
      <c r="B33" s="23"/>
      <c r="C33" s="23"/>
      <c r="D33" s="23"/>
      <c r="E33" s="23"/>
      <c r="F33" s="23" t="s">
        <v>21</v>
      </c>
      <c r="G33" s="23" t="s">
        <v>154</v>
      </c>
      <c r="H33" s="28"/>
      <c r="I33" s="23" t="s">
        <v>155</v>
      </c>
      <c r="J33" s="28" t="s">
        <v>33</v>
      </c>
      <c r="K33" s="29" t="s">
        <v>34</v>
      </c>
      <c r="L33" s="28" t="str">
        <f>IF(J33="Ya/Tidak",IF(K33="Ya",1,IF(K33="Tidak",0,"Blm Diisi")),IF(J33="A/B/C",IF(K33="A",1,IF(K33="B",0.5,IF(K33="C",0,"Blm Diisi"))),IF(J33="A/B/C/D",IF(K33="A",1,IF(K33="B",0.67,IF(K33="C",0.33,IF(K33="D",0,"Blm Diisi")))),IF(J33="A/B/C/D/E",IF(K33="A",1,IF(K33="B",0.75,IF(K33="C",0.5,IF(K33="D",0.25,IF(K33="E",0,"Blm Diisi"))))),IF(J33="%",IF(K33="","Blm Diisi",K33),IF(J33="Jumlah",IF(K33="","Blm Diisi",""),IF(J33="Rupiah",IF(K33="","Blm Diisi",""),IF(J33="","","-"))))))))</f>
        <v>0</v>
      </c>
      <c r="M33" s="28"/>
      <c r="O33" s="30" t="s">
        <v>156</v>
      </c>
      <c r="P33" s="30" t="s">
        <v>157</v>
      </c>
      <c r="Q33" s="35" t="s">
        <v>158</v>
      </c>
      <c r="R33"/>
      <c r="S33" s="36"/>
      <c r="T33" s="28" t="s">
        <v>33</v>
      </c>
      <c r="U33" s="28" t="s">
        <v>34</v>
      </c>
      <c r="V33" s="28" t="str">
        <f>IF(T33="Ya/Tidak",IF(U33="Ya",1,IF(U33="Tidak",0,"Blm Diisi")),IF(T33="A/B/C",IF(U33="A",1,IF(U33="B",0.5,IF(U33="C",0,"Blm Diisi"))),IF(T33="A/B/C/D",IF(U33="A",1,IF(U33="B",0.67,IF(U33="C",0.33,IF(U33="D",0,"Blm Diisi")))),IF(T33="A/B/C/D/E",IF(U33="A",1,IF(U33="B",0.75,IF(U33="C",0.5,IF(U33="D",0.25,IF(U33="E",0,"Blm Diisi"))))),IF(T33="%",IF(U33="","Blm Diisi",U33),IF(T33="Jumlah",IF(U33="","Blm Diisi",""),IF(T33="Rupiah",IF(U33="","Blm Diisi",""),IF(T33="","","-"))))))))</f>
        <v>0</v>
      </c>
      <c r="W33" s="28"/>
      <c r="X33" s="36" t="s">
        <v>159</v>
      </c>
      <c r="Y33"/>
      <c r="Z33"/>
      <c r="AA33" s="36"/>
      <c r="AB33" s="28" t="s">
        <v>33</v>
      </c>
      <c r="AC33" s="28"/>
      <c r="AD33" s="28" t="str">
        <f>IF(AB33="Ya/Tidak",IF(AC33="Ya",1,IF(AC33="Tidak",0,"Blm Diisi")),IF(AB33="A/B/C",IF(AC33="A",1,IF(AC33="B",0.5,IF(AC33="C",0,"Blm Diisi"))),IF(AB33="A/B/C/D",IF(AC33="A",1,IF(AC33="B",0.67,IF(AC33="C",0.33,IF(AC33="D",0,"Blm Diisi")))),IF(AB33="A/B/C/D/E",IF(AC33="A",1,IF(AC33="B",0.75,IF(AC33="C",0.5,IF(AC33="D",0.25,IF(AC33="E",0,"Blm Diisi"))))),IF(AB33="%",IF(AC33="","Blm Diisi",AC33),IF(AB33="Jumlah",IF(AC33="","Blm Diisi",""),IF(AB33="Rupiah",IF(AC33="","Blm Diisi",""),IF(AB33="","","-"))))))))</f>
        <v>0</v>
      </c>
      <c r="AE33" s="28"/>
      <c r="AF33" s="36"/>
      <c r="AG33"/>
      <c r="AH33"/>
      <c r="AI33" s="36"/>
      <c r="AJ33" s="28" t="s">
        <v>33</v>
      </c>
      <c r="AK33" s="28"/>
      <c r="AL33" s="28" t="str">
        <f>IF(AJ33="Ya/Tidak",IF(AK33="Ya",1,IF(AK33="Tidak",0,"Blm Diisi")),IF(AJ33="A/B/C",IF(AK33="A",1,IF(AK33="B",0.5,IF(AK33="C",0,"Blm Diisi"))),IF(AJ33="A/B/C/D",IF(AK33="A",1,IF(AK33="B",0.67,IF(AK33="C",0.33,IF(AK33="D",0,"Blm Diisi")))),IF(AJ33="A/B/C/D/E",IF(AK33="A",1,IF(AK33="B",0.75,IF(AK33="C",0.5,IF(AK33="D",0.25,IF(AK33="E",0,"Blm Diisi"))))),IF(AJ33="%",IF(AK33="","Blm Diisi",AK33),IF(AJ33="Jumlah",IF(AK33="","Blm Diisi",""),IF(AJ33="Rupiah",IF(AK33="","Blm Diisi",""),IF(AJ33="","","-"))))))))</f>
        <v>0</v>
      </c>
      <c r="AM33" s="28"/>
      <c r="AN33" s="36"/>
    </row>
    <row r="34" spans="1:40">
      <c r="A34" t="s">
        <v>20</v>
      </c>
      <c r="B34" s="23"/>
      <c r="C34" s="23"/>
      <c r="D34" s="23"/>
      <c r="E34" s="23"/>
      <c r="F34" s="23" t="s">
        <v>30</v>
      </c>
      <c r="G34" s="23" t="s">
        <v>160</v>
      </c>
      <c r="H34" s="28"/>
      <c r="I34" s="23" t="s">
        <v>161</v>
      </c>
      <c r="J34" s="28" t="s">
        <v>33</v>
      </c>
      <c r="K34" s="29" t="s">
        <v>34</v>
      </c>
      <c r="L34" s="28" t="str">
        <f>IF(J34="Ya/Tidak",IF(K34="Ya",1,IF(K34="Tidak",0,"Blm Diisi")),IF(J34="A/B/C",IF(K34="A",1,IF(K34="B",0.5,IF(K34="C",0,"Blm Diisi"))),IF(J34="A/B/C/D",IF(K34="A",1,IF(K34="B",0.67,IF(K34="C",0.33,IF(K34="D",0,"Blm Diisi")))),IF(J34="A/B/C/D/E",IF(K34="A",1,IF(K34="B",0.75,IF(K34="C",0.5,IF(K34="D",0.25,IF(K34="E",0,"Blm Diisi"))))),IF(J34="%",IF(K34="","Blm Diisi",K34),IF(J34="Jumlah",IF(K34="","Blm Diisi",""),IF(J34="Rupiah",IF(K34="","Blm Diisi",""),IF(J34="","","-"))))))))</f>
        <v>0</v>
      </c>
      <c r="M34" s="28"/>
      <c r="O34" s="30" t="s">
        <v>162</v>
      </c>
      <c r="P34" s="30" t="s">
        <v>163</v>
      </c>
      <c r="Q34" s="35" t="s">
        <v>164</v>
      </c>
      <c r="R34"/>
      <c r="S34" s="36"/>
      <c r="T34" s="28" t="s">
        <v>33</v>
      </c>
      <c r="U34" s="28" t="s">
        <v>34</v>
      </c>
      <c r="V34" s="28" t="str">
        <f>IF(T34="Ya/Tidak",IF(U34="Ya",1,IF(U34="Tidak",0,"Blm Diisi")),IF(T34="A/B/C",IF(U34="A",1,IF(U34="B",0.5,IF(U34="C",0,"Blm Diisi"))),IF(T34="A/B/C/D",IF(U34="A",1,IF(U34="B",0.67,IF(U34="C",0.33,IF(U34="D",0,"Blm Diisi")))),IF(T34="A/B/C/D/E",IF(U34="A",1,IF(U34="B",0.75,IF(U34="C",0.5,IF(U34="D",0.25,IF(U34="E",0,"Blm Diisi"))))),IF(T34="%",IF(U34="","Blm Diisi",U34),IF(T34="Jumlah",IF(U34="","Blm Diisi",""),IF(T34="Rupiah",IF(U34="","Blm Diisi",""),IF(T34="","","-"))))))))</f>
        <v>0</v>
      </c>
      <c r="W34" s="28"/>
      <c r="X34" s="36" t="s">
        <v>165</v>
      </c>
      <c r="Y34"/>
      <c r="Z34"/>
      <c r="AA34" s="36"/>
      <c r="AB34" s="28" t="s">
        <v>33</v>
      </c>
      <c r="AC34" s="28"/>
      <c r="AD34" s="28" t="str">
        <f>IF(AB34="Ya/Tidak",IF(AC34="Ya",1,IF(AC34="Tidak",0,"Blm Diisi")),IF(AB34="A/B/C",IF(AC34="A",1,IF(AC34="B",0.5,IF(AC34="C",0,"Blm Diisi"))),IF(AB34="A/B/C/D",IF(AC34="A",1,IF(AC34="B",0.67,IF(AC34="C",0.33,IF(AC34="D",0,"Blm Diisi")))),IF(AB34="A/B/C/D/E",IF(AC34="A",1,IF(AC34="B",0.75,IF(AC34="C",0.5,IF(AC34="D",0.25,IF(AC34="E",0,"Blm Diisi"))))),IF(AB34="%",IF(AC34="","Blm Diisi",AC34),IF(AB34="Jumlah",IF(AC34="","Blm Diisi",""),IF(AB34="Rupiah",IF(AC34="","Blm Diisi",""),IF(AB34="","","-"))))))))</f>
        <v>0</v>
      </c>
      <c r="AE34" s="28"/>
      <c r="AF34" s="36"/>
      <c r="AG34"/>
      <c r="AH34"/>
      <c r="AI34" s="36"/>
      <c r="AJ34" s="28" t="s">
        <v>33</v>
      </c>
      <c r="AK34" s="28"/>
      <c r="AL34" s="28" t="str">
        <f>IF(AJ34="Ya/Tidak",IF(AK34="Ya",1,IF(AK34="Tidak",0,"Blm Diisi")),IF(AJ34="A/B/C",IF(AK34="A",1,IF(AK34="B",0.5,IF(AK34="C",0,"Blm Diisi"))),IF(AJ34="A/B/C/D",IF(AK34="A",1,IF(AK34="B",0.67,IF(AK34="C",0.33,IF(AK34="D",0,"Blm Diisi")))),IF(AJ34="A/B/C/D/E",IF(AK34="A",1,IF(AK34="B",0.75,IF(AK34="C",0.5,IF(AK34="D",0.25,IF(AK34="E",0,"Blm Diisi"))))),IF(AJ34="%",IF(AK34="","Blm Diisi",AK34),IF(AJ34="Jumlah",IF(AK34="","Blm Diisi",""),IF(AJ34="Rupiah",IF(AK34="","Blm Diisi",""),IF(AJ34="","","-"))))))))</f>
        <v>0</v>
      </c>
      <c r="AM34" s="28"/>
      <c r="AN34" s="36"/>
    </row>
    <row r="35" spans="1:40">
      <c r="B35" s="21"/>
      <c r="C35" s="21"/>
      <c r="D35" s="21">
        <v>3.0</v>
      </c>
      <c r="E35" s="21" t="s">
        <v>166</v>
      </c>
      <c r="F35" s="21"/>
      <c r="G35" s="21"/>
      <c r="H35" s="26">
        <v>5</v>
      </c>
      <c r="I35" s="21"/>
      <c r="J35" s="26"/>
      <c r="K35" s="26"/>
      <c r="L35" s="26" t="str">
        <f>SUM(L36,L40,L44,L51,L56,L58)</f>
        <v>0</v>
      </c>
      <c r="M35" s="26" t="str">
        <f>L35/H35</f>
        <v>0</v>
      </c>
      <c r="N35" s="1"/>
      <c r="O35" s="21"/>
      <c r="P35" s="21"/>
      <c r="Q35" s="33"/>
      <c r="R35"/>
      <c r="S35" s="36">
        <v>5</v>
      </c>
      <c r="T35" s="28"/>
      <c r="U35" s="28"/>
      <c r="V35" s="28" t="str">
        <f>SUM(V36,V40,V44,V51,V56,V58)</f>
        <v>0</v>
      </c>
      <c r="W35" s="28" t="str">
        <f>V35/S35</f>
        <v>0</v>
      </c>
      <c r="X35" s="36"/>
      <c r="Y35"/>
      <c r="Z35"/>
      <c r="AA35" s="36">
        <v>5</v>
      </c>
      <c r="AB35" s="28"/>
      <c r="AC35" s="28"/>
      <c r="AD35" s="28" t="str">
        <f>SUM(AD36,AD40,AD44,AD51,AD56,AD58)</f>
        <v>0</v>
      </c>
      <c r="AE35" s="28" t="str">
        <f>AD35/AA35</f>
        <v>0</v>
      </c>
      <c r="AF35" s="36"/>
      <c r="AG35"/>
      <c r="AH35"/>
      <c r="AI35" s="36">
        <v>5</v>
      </c>
      <c r="AJ35" s="28"/>
      <c r="AK35" s="28"/>
      <c r="AL35" s="28" t="str">
        <f>SUM(AL36,AL40,AL44,AL51,AL56,AL58)</f>
        <v>0</v>
      </c>
      <c r="AM35" s="28" t="str">
        <f>AL35/AI35</f>
        <v>0</v>
      </c>
      <c r="AN35" s="36"/>
    </row>
    <row r="36" spans="1:40">
      <c r="B36" s="22"/>
      <c r="C36" s="22"/>
      <c r="D36" s="22"/>
      <c r="E36" s="22" t="s">
        <v>18</v>
      </c>
      <c r="F36" s="22" t="s">
        <v>167</v>
      </c>
      <c r="G36" s="22"/>
      <c r="H36" s="27">
        <v>0.25</v>
      </c>
      <c r="I36" s="22"/>
      <c r="J36" s="27"/>
      <c r="K36" s="27"/>
      <c r="L36" s="27" t="str">
        <f>AVERAGE(L37:L39)*H36</f>
        <v>0</v>
      </c>
      <c r="M36" s="27" t="str">
        <f>L36/H36</f>
        <v>0</v>
      </c>
      <c r="N36" s="1"/>
      <c r="O36" s="22"/>
      <c r="P36" s="22"/>
      <c r="Q36" s="34"/>
      <c r="R36"/>
      <c r="S36" s="36">
        <v>0.25</v>
      </c>
      <c r="T36" s="28"/>
      <c r="U36" s="28"/>
      <c r="V36" s="28" t="str">
        <f>AVERAGE(V37:V39)*S36</f>
        <v>0</v>
      </c>
      <c r="W36" s="28" t="str">
        <f>V36/S36</f>
        <v>0</v>
      </c>
      <c r="X36" s="36"/>
      <c r="Y36"/>
      <c r="Z36"/>
      <c r="AA36" s="36">
        <v>0.25</v>
      </c>
      <c r="AB36" s="28"/>
      <c r="AC36" s="28"/>
      <c r="AD36" s="28" t="str">
        <f>AVERAGE(AD37:AD39)*AA36</f>
        <v>0</v>
      </c>
      <c r="AE36" s="28" t="str">
        <f>AD36/AA36</f>
        <v>0</v>
      </c>
      <c r="AF36" s="36"/>
      <c r="AG36"/>
      <c r="AH36"/>
      <c r="AI36" s="36">
        <v>0.25</v>
      </c>
      <c r="AJ36" s="28"/>
      <c r="AK36" s="28"/>
      <c r="AL36" s="28" t="str">
        <f>AVERAGE(AL37:AL39)*AI36</f>
        <v>0</v>
      </c>
      <c r="AM36" s="28" t="str">
        <f>AL36/AI36</f>
        <v>0</v>
      </c>
      <c r="AN36" s="36"/>
    </row>
    <row r="37" spans="1:40">
      <c r="A37" t="s">
        <v>20</v>
      </c>
      <c r="B37" s="23"/>
      <c r="C37" s="23"/>
      <c r="D37" s="23"/>
      <c r="E37" s="23"/>
      <c r="F37" s="23" t="s">
        <v>21</v>
      </c>
      <c r="G37" s="23" t="s">
        <v>168</v>
      </c>
      <c r="H37" s="28"/>
      <c r="I37" s="23" t="s">
        <v>169</v>
      </c>
      <c r="J37" s="28" t="s">
        <v>24</v>
      </c>
      <c r="K37" s="29" t="s">
        <v>25</v>
      </c>
      <c r="L37" s="28" t="str">
        <f>IF(J37="Ya/Tidak",IF(K37="Ya",1,IF(K37="Tidak",0,"Blm Diisi")),IF(J37="A/B/C",IF(K37="A",1,IF(K37="B",0.5,IF(K37="C",0,"Blm Diisi"))),IF(J37="A/B/C/D",IF(K37="A",1,IF(K37="B",0.67,IF(K37="C",0.33,IF(K37="D",0,"Blm Diisi")))),IF(J37="A/B/C/D/E",IF(K37="A",1,IF(K37="B",0.75,IF(K37="C",0.5,IF(K37="D",0.25,IF(K37="E",0,"Blm Diisi"))))),IF(J37="%",IF(K37="","Blm Diisi",K37),IF(J37="Jumlah",IF(K37="","Blm Diisi",""),IF(J37="Rupiah",IF(K37="","Blm Diisi",""),IF(J37="","","-"))))))))</f>
        <v>0</v>
      </c>
      <c r="M37" s="28"/>
      <c r="O37" s="30" t="s">
        <v>170</v>
      </c>
      <c r="P37" s="30" t="s">
        <v>171</v>
      </c>
      <c r="Q37" s="35" t="s">
        <v>172</v>
      </c>
      <c r="R37"/>
      <c r="S37" s="36"/>
      <c r="T37" s="28" t="s">
        <v>24</v>
      </c>
      <c r="U37" s="28" t="s">
        <v>25</v>
      </c>
      <c r="V37" s="28" t="str">
        <f>IF(T37="Ya/Tidak",IF(U37="Ya",1,IF(U37="Tidak",0,"Blm Diisi")),IF(T37="A/B/C",IF(U37="A",1,IF(U37="B",0.5,IF(U37="C",0,"Blm Diisi"))),IF(T37="A/B/C/D",IF(U37="A",1,IF(U37="B",0.67,IF(U37="C",0.33,IF(U37="D",0,"Blm Diisi")))),IF(T37="A/B/C/D/E",IF(U37="A",1,IF(U37="B",0.75,IF(U37="C",0.5,IF(U37="D",0.25,IF(U37="E",0,"Blm Diisi"))))),IF(T37="%",IF(U37="","Blm Diisi",U37),IF(T37="Jumlah",IF(U37="","Blm Diisi",""),IF(T37="Rupiah",IF(U37="","Blm Diisi",""),IF(T37="","","-"))))))))</f>
        <v>0</v>
      </c>
      <c r="W37" s="28"/>
      <c r="X37" s="36" t="s">
        <v>173</v>
      </c>
      <c r="Y37"/>
      <c r="Z37"/>
      <c r="AA37" s="36"/>
      <c r="AB37" s="28" t="s">
        <v>24</v>
      </c>
      <c r="AC37" s="28"/>
      <c r="AD37" s="28" t="str">
        <f>IF(AB37="Ya/Tidak",IF(AC37="Ya",1,IF(AC37="Tidak",0,"Blm Diisi")),IF(AB37="A/B/C",IF(AC37="A",1,IF(AC37="B",0.5,IF(AC37="C",0,"Blm Diisi"))),IF(AB37="A/B/C/D",IF(AC37="A",1,IF(AC37="B",0.67,IF(AC37="C",0.33,IF(AC37="D",0,"Blm Diisi")))),IF(AB37="A/B/C/D/E",IF(AC37="A",1,IF(AC37="B",0.75,IF(AC37="C",0.5,IF(AC37="D",0.25,IF(AC37="E",0,"Blm Diisi"))))),IF(AB37="%",IF(AC37="","Blm Diisi",AC37),IF(AB37="Jumlah",IF(AC37="","Blm Diisi",""),IF(AB37="Rupiah",IF(AC37="","Blm Diisi",""),IF(AB37="","","-"))))))))</f>
        <v>0</v>
      </c>
      <c r="AE37" s="28"/>
      <c r="AF37" s="36"/>
      <c r="AG37"/>
      <c r="AH37"/>
      <c r="AI37" s="36"/>
      <c r="AJ37" s="28" t="s">
        <v>24</v>
      </c>
      <c r="AK37" s="28"/>
      <c r="AL37" s="28" t="str">
        <f>IF(AJ37="Ya/Tidak",IF(AK37="Ya",1,IF(AK37="Tidak",0,"Blm Diisi")),IF(AJ37="A/B/C",IF(AK37="A",1,IF(AK37="B",0.5,IF(AK37="C",0,"Blm Diisi"))),IF(AJ37="A/B/C/D",IF(AK37="A",1,IF(AK37="B",0.67,IF(AK37="C",0.33,IF(AK37="D",0,"Blm Diisi")))),IF(AJ37="A/B/C/D/E",IF(AK37="A",1,IF(AK37="B",0.75,IF(AK37="C",0.5,IF(AK37="D",0.25,IF(AK37="E",0,"Blm Diisi"))))),IF(AJ37="%",IF(AK37="","Blm Diisi",AK37),IF(AJ37="Jumlah",IF(AK37="","Blm Diisi",""),IF(AJ37="Rupiah",IF(AK37="","Blm Diisi",""),IF(AJ37="","","-"))))))))</f>
        <v>0</v>
      </c>
      <c r="AM37" s="28"/>
      <c r="AN37" s="36"/>
    </row>
    <row r="38" spans="1:40">
      <c r="A38" t="s">
        <v>20</v>
      </c>
      <c r="B38" s="23"/>
      <c r="C38" s="23"/>
      <c r="D38" s="23"/>
      <c r="E38" s="23"/>
      <c r="F38" s="23" t="s">
        <v>30</v>
      </c>
      <c r="G38" s="23" t="s">
        <v>174</v>
      </c>
      <c r="H38" s="28"/>
      <c r="I38" s="23" t="s">
        <v>175</v>
      </c>
      <c r="J38" s="28" t="s">
        <v>63</v>
      </c>
      <c r="K38" s="29" t="s">
        <v>34</v>
      </c>
      <c r="L38" s="28" t="str">
        <f>IF(J38="Ya/Tidak",IF(K38="Ya",1,IF(K38="Tidak",0,"Blm Diisi")),IF(J38="A/B/C",IF(K38="A",1,IF(K38="B",0.5,IF(K38="C",0,"Blm Diisi"))),IF(J38="A/B/C/D",IF(K38="A",1,IF(K38="B",0.67,IF(K38="C",0.33,IF(K38="D",0,"Blm Diisi")))),IF(J38="A/B/C/D/E",IF(K38="A",1,IF(K38="B",0.75,IF(K38="C",0.5,IF(K38="D",0.25,IF(K38="E",0,"Blm Diisi"))))),IF(J38="%",IF(K38="","Blm Diisi",K38),IF(J38="Jumlah",IF(K38="","Blm Diisi",""),IF(J38="Rupiah",IF(K38="","Blm Diisi",""),IF(J38="","","-"))))))))</f>
        <v>0</v>
      </c>
      <c r="M38" s="28"/>
      <c r="O38" s="30" t="s">
        <v>176</v>
      </c>
      <c r="P38" s="30" t="s">
        <v>177</v>
      </c>
      <c r="Q38" s="35" t="s">
        <v>178</v>
      </c>
      <c r="R38"/>
      <c r="S38" s="36"/>
      <c r="T38" s="28" t="s">
        <v>63</v>
      </c>
      <c r="U38" s="28" t="s">
        <v>34</v>
      </c>
      <c r="V38" s="28" t="str">
        <f>IF(T38="Ya/Tidak",IF(U38="Ya",1,IF(U38="Tidak",0,"Blm Diisi")),IF(T38="A/B/C",IF(U38="A",1,IF(U38="B",0.5,IF(U38="C",0,"Blm Diisi"))),IF(T38="A/B/C/D",IF(U38="A",1,IF(U38="B",0.67,IF(U38="C",0.33,IF(U38="D",0,"Blm Diisi")))),IF(T38="A/B/C/D/E",IF(U38="A",1,IF(U38="B",0.75,IF(U38="C",0.5,IF(U38="D",0.25,IF(U38="E",0,"Blm Diisi"))))),IF(T38="%",IF(U38="","Blm Diisi",U38),IF(T38="Jumlah",IF(U38="","Blm Diisi",""),IF(T38="Rupiah",IF(U38="","Blm Diisi",""),IF(T38="","","-"))))))))</f>
        <v>0</v>
      </c>
      <c r="W38" s="28"/>
      <c r="X38" s="36" t="s">
        <v>179</v>
      </c>
      <c r="Y38"/>
      <c r="Z38"/>
      <c r="AA38" s="36"/>
      <c r="AB38" s="28" t="s">
        <v>63</v>
      </c>
      <c r="AC38" s="28"/>
      <c r="AD38" s="28" t="str">
        <f>IF(AB38="Ya/Tidak",IF(AC38="Ya",1,IF(AC38="Tidak",0,"Blm Diisi")),IF(AB38="A/B/C",IF(AC38="A",1,IF(AC38="B",0.5,IF(AC38="C",0,"Blm Diisi"))),IF(AB38="A/B/C/D",IF(AC38="A",1,IF(AC38="B",0.67,IF(AC38="C",0.33,IF(AC38="D",0,"Blm Diisi")))),IF(AB38="A/B/C/D/E",IF(AC38="A",1,IF(AC38="B",0.75,IF(AC38="C",0.5,IF(AC38="D",0.25,IF(AC38="E",0,"Blm Diisi"))))),IF(AB38="%",IF(AC38="","Blm Diisi",AC38),IF(AB38="Jumlah",IF(AC38="","Blm Diisi",""),IF(AB38="Rupiah",IF(AC38="","Blm Diisi",""),IF(AB38="","","-"))))))))</f>
        <v>0</v>
      </c>
      <c r="AE38" s="28"/>
      <c r="AF38" s="36"/>
      <c r="AG38"/>
      <c r="AH38"/>
      <c r="AI38" s="36"/>
      <c r="AJ38" s="28" t="s">
        <v>63</v>
      </c>
      <c r="AK38" s="28"/>
      <c r="AL38" s="28" t="str">
        <f>IF(AJ38="Ya/Tidak",IF(AK38="Ya",1,IF(AK38="Tidak",0,"Blm Diisi")),IF(AJ38="A/B/C",IF(AK38="A",1,IF(AK38="B",0.5,IF(AK38="C",0,"Blm Diisi"))),IF(AJ38="A/B/C/D",IF(AK38="A",1,IF(AK38="B",0.67,IF(AK38="C",0.33,IF(AK38="D",0,"Blm Diisi")))),IF(AJ38="A/B/C/D/E",IF(AK38="A",1,IF(AK38="B",0.75,IF(AK38="C",0.5,IF(AK38="D",0.25,IF(AK38="E",0,"Blm Diisi"))))),IF(AJ38="%",IF(AK38="","Blm Diisi",AK38),IF(AJ38="Jumlah",IF(AK38="","Blm Diisi",""),IF(AJ38="Rupiah",IF(AK38="","Blm Diisi",""),IF(AJ38="","","-"))))))))</f>
        <v>0</v>
      </c>
      <c r="AM38" s="28"/>
      <c r="AN38" s="36"/>
    </row>
    <row r="39" spans="1:40">
      <c r="A39" t="s">
        <v>20</v>
      </c>
      <c r="B39" s="23"/>
      <c r="C39" s="23"/>
      <c r="D39" s="23"/>
      <c r="E39" s="23"/>
      <c r="F39" s="23" t="s">
        <v>52</v>
      </c>
      <c r="G39" s="23" t="s">
        <v>180</v>
      </c>
      <c r="H39" s="28"/>
      <c r="I39" s="23" t="s">
        <v>181</v>
      </c>
      <c r="J39" s="28" t="s">
        <v>24</v>
      </c>
      <c r="K39" s="29" t="s">
        <v>25</v>
      </c>
      <c r="L39" s="28" t="str">
        <f>IF(J39="Ya/Tidak",IF(K39="Ya",1,IF(K39="Tidak",0,"Blm Diisi")),IF(J39="A/B/C",IF(K39="A",1,IF(K39="B",0.5,IF(K39="C",0,"Blm Diisi"))),IF(J39="A/B/C/D",IF(K39="A",1,IF(K39="B",0.67,IF(K39="C",0.33,IF(K39="D",0,"Blm Diisi")))),IF(J39="A/B/C/D/E",IF(K39="A",1,IF(K39="B",0.75,IF(K39="C",0.5,IF(K39="D",0.25,IF(K39="E",0,"Blm Diisi"))))),IF(J39="%",IF(K39="","Blm Diisi",K39),IF(J39="Jumlah",IF(K39="","Blm Diisi",""),IF(J39="Rupiah",IF(K39="","Blm Diisi",""),IF(J39="","","-"))))))))</f>
        <v>0</v>
      </c>
      <c r="M39" s="28"/>
      <c r="O39" s="30" t="s">
        <v>182</v>
      </c>
      <c r="P39" s="30" t="s">
        <v>183</v>
      </c>
      <c r="Q39" s="35" t="s">
        <v>184</v>
      </c>
      <c r="R39"/>
      <c r="S39" s="36"/>
      <c r="T39" s="28" t="s">
        <v>24</v>
      </c>
      <c r="U39" s="28" t="s">
        <v>25</v>
      </c>
      <c r="V39" s="28" t="str">
        <f>IF(T39="Ya/Tidak",IF(U39="Ya",1,IF(U39="Tidak",0,"Blm Diisi")),IF(T39="A/B/C",IF(U39="A",1,IF(U39="B",0.5,IF(U39="C",0,"Blm Diisi"))),IF(T39="A/B/C/D",IF(U39="A",1,IF(U39="B",0.67,IF(U39="C",0.33,IF(U39="D",0,"Blm Diisi")))),IF(T39="A/B/C/D/E",IF(U39="A",1,IF(U39="B",0.75,IF(U39="C",0.5,IF(U39="D",0.25,IF(U39="E",0,"Blm Diisi"))))),IF(T39="%",IF(U39="","Blm Diisi",U39),IF(T39="Jumlah",IF(U39="","Blm Diisi",""),IF(T39="Rupiah",IF(U39="","Blm Diisi",""),IF(T39="","","-"))))))))</f>
        <v>0</v>
      </c>
      <c r="W39" s="28"/>
      <c r="X39" s="36" t="s">
        <v>185</v>
      </c>
      <c r="Y39"/>
      <c r="Z39"/>
      <c r="AA39" s="36"/>
      <c r="AB39" s="28" t="s">
        <v>24</v>
      </c>
      <c r="AC39" s="28"/>
      <c r="AD39" s="28" t="str">
        <f>IF(AB39="Ya/Tidak",IF(AC39="Ya",1,IF(AC39="Tidak",0,"Blm Diisi")),IF(AB39="A/B/C",IF(AC39="A",1,IF(AC39="B",0.5,IF(AC39="C",0,"Blm Diisi"))),IF(AB39="A/B/C/D",IF(AC39="A",1,IF(AC39="B",0.67,IF(AC39="C",0.33,IF(AC39="D",0,"Blm Diisi")))),IF(AB39="A/B/C/D/E",IF(AC39="A",1,IF(AC39="B",0.75,IF(AC39="C",0.5,IF(AC39="D",0.25,IF(AC39="E",0,"Blm Diisi"))))),IF(AB39="%",IF(AC39="","Blm Diisi",AC39),IF(AB39="Jumlah",IF(AC39="","Blm Diisi",""),IF(AB39="Rupiah",IF(AC39="","Blm Diisi",""),IF(AB39="","","-"))))))))</f>
        <v>0</v>
      </c>
      <c r="AE39" s="28"/>
      <c r="AF39" s="36"/>
      <c r="AG39"/>
      <c r="AH39"/>
      <c r="AI39" s="36"/>
      <c r="AJ39" s="28" t="s">
        <v>24</v>
      </c>
      <c r="AK39" s="28"/>
      <c r="AL39" s="28" t="str">
        <f>IF(AJ39="Ya/Tidak",IF(AK39="Ya",1,IF(AK39="Tidak",0,"Blm Diisi")),IF(AJ39="A/B/C",IF(AK39="A",1,IF(AK39="B",0.5,IF(AK39="C",0,"Blm Diisi"))),IF(AJ39="A/B/C/D",IF(AK39="A",1,IF(AK39="B",0.67,IF(AK39="C",0.33,IF(AK39="D",0,"Blm Diisi")))),IF(AJ39="A/B/C/D/E",IF(AK39="A",1,IF(AK39="B",0.75,IF(AK39="C",0.5,IF(AK39="D",0.25,IF(AK39="E",0,"Blm Diisi"))))),IF(AJ39="%",IF(AK39="","Blm Diisi",AK39),IF(AJ39="Jumlah",IF(AK39="","Blm Diisi",""),IF(AJ39="Rupiah",IF(AK39="","Blm Diisi",""),IF(AJ39="","","-"))))))))</f>
        <v>0</v>
      </c>
      <c r="AM39" s="28"/>
      <c r="AN39" s="36"/>
    </row>
    <row r="40" spans="1:40">
      <c r="B40" s="22"/>
      <c r="C40" s="22"/>
      <c r="D40" s="22"/>
      <c r="E40" s="22" t="s">
        <v>40</v>
      </c>
      <c r="F40" s="22" t="s">
        <v>186</v>
      </c>
      <c r="G40" s="22"/>
      <c r="H40" s="27">
        <v>0.5</v>
      </c>
      <c r="I40" s="22"/>
      <c r="J40" s="27"/>
      <c r="K40" s="27"/>
      <c r="L40" s="27" t="str">
        <f>AVERAGE(L41:L43)*H40</f>
        <v>0</v>
      </c>
      <c r="M40" s="27" t="str">
        <f>L40/H40</f>
        <v>0</v>
      </c>
      <c r="N40" s="1"/>
      <c r="O40" s="22"/>
      <c r="P40" s="22"/>
      <c r="Q40" s="34"/>
      <c r="R40"/>
      <c r="S40" s="36">
        <v>0.5</v>
      </c>
      <c r="T40" s="28"/>
      <c r="U40" s="28"/>
      <c r="V40" s="28" t="str">
        <f>AVERAGE(V41:V43)*S40</f>
        <v>0</v>
      </c>
      <c r="W40" s="28" t="str">
        <f>V40/S40</f>
        <v>0</v>
      </c>
      <c r="X40" s="36"/>
      <c r="Y40"/>
      <c r="Z40"/>
      <c r="AA40" s="36">
        <v>0.5</v>
      </c>
      <c r="AB40" s="28"/>
      <c r="AC40" s="28"/>
      <c r="AD40" s="28" t="str">
        <f>AVERAGE(AD41:AD43)*AA40</f>
        <v>0</v>
      </c>
      <c r="AE40" s="28" t="str">
        <f>AD40/AA40</f>
        <v>0</v>
      </c>
      <c r="AF40" s="36"/>
      <c r="AG40"/>
      <c r="AH40"/>
      <c r="AI40" s="36">
        <v>0.5</v>
      </c>
      <c r="AJ40" s="28"/>
      <c r="AK40" s="28"/>
      <c r="AL40" s="28" t="str">
        <f>AVERAGE(AL41:AL43)*AI40</f>
        <v>0</v>
      </c>
      <c r="AM40" s="28" t="str">
        <f>AL40/AI40</f>
        <v>0</v>
      </c>
      <c r="AN40" s="36"/>
    </row>
    <row r="41" spans="1:40">
      <c r="A41" t="s">
        <v>20</v>
      </c>
      <c r="B41" s="23"/>
      <c r="C41" s="23"/>
      <c r="D41" s="23"/>
      <c r="E41" s="23"/>
      <c r="F41" s="23" t="s">
        <v>21</v>
      </c>
      <c r="G41" s="23" t="s">
        <v>187</v>
      </c>
      <c r="H41" s="28"/>
      <c r="I41" s="23" t="s">
        <v>188</v>
      </c>
      <c r="J41" s="28" t="s">
        <v>24</v>
      </c>
      <c r="K41" s="29" t="s">
        <v>25</v>
      </c>
      <c r="L41" s="28" t="str">
        <f>IF(J41="Ya/Tidak",IF(K41="Ya",1,IF(K41="Tidak",0,"Blm Diisi")),IF(J41="A/B/C",IF(K41="A",1,IF(K41="B",0.5,IF(K41="C",0,"Blm Diisi"))),IF(J41="A/B/C/D",IF(K41="A",1,IF(K41="B",0.67,IF(K41="C",0.33,IF(K41="D",0,"Blm Diisi")))),IF(J41="A/B/C/D/E",IF(K41="A",1,IF(K41="B",0.75,IF(K41="C",0.5,IF(K41="D",0.25,IF(K41="E",0,"Blm Diisi"))))),IF(J41="%",IF(K41="","Blm Diisi",K41),IF(J41="Jumlah",IF(K41="","Blm Diisi",""),IF(J41="Rupiah",IF(K41="","Blm Diisi",""),IF(J41="","","-"))))))))</f>
        <v>0</v>
      </c>
      <c r="M41" s="28"/>
      <c r="O41" s="30" t="s">
        <v>189</v>
      </c>
      <c r="P41" s="30" t="s">
        <v>190</v>
      </c>
      <c r="Q41" s="35" t="s">
        <v>191</v>
      </c>
      <c r="R41"/>
      <c r="S41" s="36"/>
      <c r="T41" s="28" t="s">
        <v>24</v>
      </c>
      <c r="U41" s="28" t="s">
        <v>25</v>
      </c>
      <c r="V41" s="28" t="str">
        <f>IF(T41="Ya/Tidak",IF(U41="Ya",1,IF(U41="Tidak",0,"Blm Diisi")),IF(T41="A/B/C",IF(U41="A",1,IF(U41="B",0.5,IF(U41="C",0,"Blm Diisi"))),IF(T41="A/B/C/D",IF(U41="A",1,IF(U41="B",0.67,IF(U41="C",0.33,IF(U41="D",0,"Blm Diisi")))),IF(T41="A/B/C/D/E",IF(U41="A",1,IF(U41="B",0.75,IF(U41="C",0.5,IF(U41="D",0.25,IF(U41="E",0,"Blm Diisi"))))),IF(T41="%",IF(U41="","Blm Diisi",U41),IF(T41="Jumlah",IF(U41="","Blm Diisi",""),IF(T41="Rupiah",IF(U41="","Blm Diisi",""),IF(T41="","","-"))))))))</f>
        <v>0</v>
      </c>
      <c r="W41" s="28"/>
      <c r="X41" s="36" t="s">
        <v>192</v>
      </c>
      <c r="Y41"/>
      <c r="Z41"/>
      <c r="AA41" s="36"/>
      <c r="AB41" s="28" t="s">
        <v>24</v>
      </c>
      <c r="AC41" s="28"/>
      <c r="AD41" s="28" t="str">
        <f>IF(AB41="Ya/Tidak",IF(AC41="Ya",1,IF(AC41="Tidak",0,"Blm Diisi")),IF(AB41="A/B/C",IF(AC41="A",1,IF(AC41="B",0.5,IF(AC41="C",0,"Blm Diisi"))),IF(AB41="A/B/C/D",IF(AC41="A",1,IF(AC41="B",0.67,IF(AC41="C",0.33,IF(AC41="D",0,"Blm Diisi")))),IF(AB41="A/B/C/D/E",IF(AC41="A",1,IF(AC41="B",0.75,IF(AC41="C",0.5,IF(AC41="D",0.25,IF(AC41="E",0,"Blm Diisi"))))),IF(AB41="%",IF(AC41="","Blm Diisi",AC41),IF(AB41="Jumlah",IF(AC41="","Blm Diisi",""),IF(AB41="Rupiah",IF(AC41="","Blm Diisi",""),IF(AB41="","","-"))))))))</f>
        <v>0</v>
      </c>
      <c r="AE41" s="28"/>
      <c r="AF41" s="36"/>
      <c r="AG41"/>
      <c r="AH41"/>
      <c r="AI41" s="36"/>
      <c r="AJ41" s="28" t="s">
        <v>24</v>
      </c>
      <c r="AK41" s="28"/>
      <c r="AL41" s="28" t="str">
        <f>IF(AJ41="Ya/Tidak",IF(AK41="Ya",1,IF(AK41="Tidak",0,"Blm Diisi")),IF(AJ41="A/B/C",IF(AK41="A",1,IF(AK41="B",0.5,IF(AK41="C",0,"Blm Diisi"))),IF(AJ41="A/B/C/D",IF(AK41="A",1,IF(AK41="B",0.67,IF(AK41="C",0.33,IF(AK41="D",0,"Blm Diisi")))),IF(AJ41="A/B/C/D/E",IF(AK41="A",1,IF(AK41="B",0.75,IF(AK41="C",0.5,IF(AK41="D",0.25,IF(AK41="E",0,"Blm Diisi"))))),IF(AJ41="%",IF(AK41="","Blm Diisi",AK41),IF(AJ41="Jumlah",IF(AK41="","Blm Diisi",""),IF(AJ41="Rupiah",IF(AK41="","Blm Diisi",""),IF(AJ41="","","-"))))))))</f>
        <v>0</v>
      </c>
      <c r="AM41" s="28"/>
      <c r="AN41" s="36"/>
    </row>
    <row r="42" spans="1:40">
      <c r="A42" t="s">
        <v>20</v>
      </c>
      <c r="B42" s="23"/>
      <c r="C42" s="23"/>
      <c r="D42" s="23"/>
      <c r="E42" s="23"/>
      <c r="F42" s="23" t="s">
        <v>30</v>
      </c>
      <c r="G42" s="23" t="s">
        <v>193</v>
      </c>
      <c r="H42" s="28"/>
      <c r="I42" s="23" t="s">
        <v>194</v>
      </c>
      <c r="J42" s="28" t="s">
        <v>116</v>
      </c>
      <c r="K42" s="29" t="s">
        <v>34</v>
      </c>
      <c r="L42" s="28" t="str">
        <f>IF(J42="Ya/Tidak",IF(K42="Ya",1,IF(K42="Tidak",0,"Blm Diisi")),IF(J42="A/B/C",IF(K42="A",1,IF(K42="B",0.5,IF(K42="C",0,"Blm Diisi"))),IF(J42="A/B/C/D",IF(K42="A",1,IF(K42="B",0.67,IF(K42="C",0.33,IF(K42="D",0,"Blm Diisi")))),IF(J42="A/B/C/D/E",IF(K42="A",1,IF(K42="B",0.75,IF(K42="C",0.5,IF(K42="D",0.25,IF(K42="E",0,"Blm Diisi"))))),IF(J42="%",IF(K42="","Blm Diisi",K42),IF(J42="Jumlah",IF(K42="","Blm Diisi",""),IF(J42="Rupiah",IF(K42="","Blm Diisi",""),IF(J42="","","-"))))))))</f>
        <v>0</v>
      </c>
      <c r="M42" s="28"/>
      <c r="O42" s="30" t="s">
        <v>195</v>
      </c>
      <c r="P42" s="30" t="s">
        <v>196</v>
      </c>
      <c r="Q42" s="35" t="s">
        <v>197</v>
      </c>
      <c r="R42"/>
      <c r="S42" s="36"/>
      <c r="T42" s="28" t="s">
        <v>116</v>
      </c>
      <c r="U42" s="28" t="s">
        <v>34</v>
      </c>
      <c r="V42" s="28" t="str">
        <f>IF(T42="Ya/Tidak",IF(U42="Ya",1,IF(U42="Tidak",0,"Blm Diisi")),IF(T42="A/B/C",IF(U42="A",1,IF(U42="B",0.5,IF(U42="C",0,"Blm Diisi"))),IF(T42="A/B/C/D",IF(U42="A",1,IF(U42="B",0.67,IF(U42="C",0.33,IF(U42="D",0,"Blm Diisi")))),IF(T42="A/B/C/D/E",IF(U42="A",1,IF(U42="B",0.75,IF(U42="C",0.5,IF(U42="D",0.25,IF(U42="E",0,"Blm Diisi"))))),IF(T42="%",IF(U42="","Blm Diisi",U42),IF(T42="Jumlah",IF(U42="","Blm Diisi",""),IF(T42="Rupiah",IF(U42="","Blm Diisi",""),IF(T42="","","-"))))))))</f>
        <v>0</v>
      </c>
      <c r="W42" s="28"/>
      <c r="X42" s="36" t="s">
        <v>198</v>
      </c>
      <c r="Y42"/>
      <c r="Z42"/>
      <c r="AA42" s="36"/>
      <c r="AB42" s="28" t="s">
        <v>116</v>
      </c>
      <c r="AC42" s="28"/>
      <c r="AD42" s="28" t="str">
        <f>IF(AB42="Ya/Tidak",IF(AC42="Ya",1,IF(AC42="Tidak",0,"Blm Diisi")),IF(AB42="A/B/C",IF(AC42="A",1,IF(AC42="B",0.5,IF(AC42="C",0,"Blm Diisi"))),IF(AB42="A/B/C/D",IF(AC42="A",1,IF(AC42="B",0.67,IF(AC42="C",0.33,IF(AC42="D",0,"Blm Diisi")))),IF(AB42="A/B/C/D/E",IF(AC42="A",1,IF(AC42="B",0.75,IF(AC42="C",0.5,IF(AC42="D",0.25,IF(AC42="E",0,"Blm Diisi"))))),IF(AB42="%",IF(AC42="","Blm Diisi",AC42),IF(AB42="Jumlah",IF(AC42="","Blm Diisi",""),IF(AB42="Rupiah",IF(AC42="","Blm Diisi",""),IF(AB42="","","-"))))))))</f>
        <v>0</v>
      </c>
      <c r="AE42" s="28"/>
      <c r="AF42" s="36"/>
      <c r="AG42"/>
      <c r="AH42"/>
      <c r="AI42" s="36"/>
      <c r="AJ42" s="28" t="s">
        <v>116</v>
      </c>
      <c r="AK42" s="28"/>
      <c r="AL42" s="28" t="str">
        <f>IF(AJ42="Ya/Tidak",IF(AK42="Ya",1,IF(AK42="Tidak",0,"Blm Diisi")),IF(AJ42="A/B/C",IF(AK42="A",1,IF(AK42="B",0.5,IF(AK42="C",0,"Blm Diisi"))),IF(AJ42="A/B/C/D",IF(AK42="A",1,IF(AK42="B",0.67,IF(AK42="C",0.33,IF(AK42="D",0,"Blm Diisi")))),IF(AJ42="A/B/C/D/E",IF(AK42="A",1,IF(AK42="B",0.75,IF(AK42="C",0.5,IF(AK42="D",0.25,IF(AK42="E",0,"Blm Diisi"))))),IF(AJ42="%",IF(AK42="","Blm Diisi",AK42),IF(AJ42="Jumlah",IF(AK42="","Blm Diisi",""),IF(AJ42="Rupiah",IF(AK42="","Blm Diisi",""),IF(AJ42="","","-"))))))))</f>
        <v>0</v>
      </c>
      <c r="AM42" s="28"/>
      <c r="AN42" s="36"/>
    </row>
    <row r="43" spans="1:40">
      <c r="A43" t="s">
        <v>20</v>
      </c>
      <c r="B43" s="23"/>
      <c r="C43" s="23"/>
      <c r="D43" s="23"/>
      <c r="E43" s="23"/>
      <c r="F43" s="23" t="s">
        <v>52</v>
      </c>
      <c r="G43" s="23" t="s">
        <v>199</v>
      </c>
      <c r="H43" s="28"/>
      <c r="I43" s="23" t="s">
        <v>200</v>
      </c>
      <c r="J43" s="28" t="s">
        <v>24</v>
      </c>
      <c r="K43" s="29" t="s">
        <v>25</v>
      </c>
      <c r="L43" s="28" t="str">
        <f>IF(J43="Ya/Tidak",IF(K43="Ya",1,IF(K43="Tidak",0,"Blm Diisi")),IF(J43="A/B/C",IF(K43="A",1,IF(K43="B",0.5,IF(K43="C",0,"Blm Diisi"))),IF(J43="A/B/C/D",IF(K43="A",1,IF(K43="B",0.67,IF(K43="C",0.33,IF(K43="D",0,"Blm Diisi")))),IF(J43="A/B/C/D/E",IF(K43="A",1,IF(K43="B",0.75,IF(K43="C",0.5,IF(K43="D",0.25,IF(K43="E",0,"Blm Diisi"))))),IF(J43="%",IF(K43="","Blm Diisi",K43),IF(J43="Jumlah",IF(K43="","Blm Diisi",""),IF(J43="Rupiah",IF(K43="","Blm Diisi",""),IF(J43="","","-"))))))))</f>
        <v>0</v>
      </c>
      <c r="M43" s="28"/>
      <c r="O43" s="30" t="s">
        <v>201</v>
      </c>
      <c r="P43" s="30" t="s">
        <v>202</v>
      </c>
      <c r="Q43" s="35" t="s">
        <v>203</v>
      </c>
      <c r="R43"/>
      <c r="S43" s="36"/>
      <c r="T43" s="28" t="s">
        <v>24</v>
      </c>
      <c r="U43" s="28" t="s">
        <v>25</v>
      </c>
      <c r="V43" s="28" t="str">
        <f>IF(T43="Ya/Tidak",IF(U43="Ya",1,IF(U43="Tidak",0,"Blm Diisi")),IF(T43="A/B/C",IF(U43="A",1,IF(U43="B",0.5,IF(U43="C",0,"Blm Diisi"))),IF(T43="A/B/C/D",IF(U43="A",1,IF(U43="B",0.67,IF(U43="C",0.33,IF(U43="D",0,"Blm Diisi")))),IF(T43="A/B/C/D/E",IF(U43="A",1,IF(U43="B",0.75,IF(U43="C",0.5,IF(U43="D",0.25,IF(U43="E",0,"Blm Diisi"))))),IF(T43="%",IF(U43="","Blm Diisi",U43),IF(T43="Jumlah",IF(U43="","Blm Diisi",""),IF(T43="Rupiah",IF(U43="","Blm Diisi",""),IF(T43="","","-"))))))))</f>
        <v>0</v>
      </c>
      <c r="W43" s="28"/>
      <c r="X43" s="36" t="s">
        <v>204</v>
      </c>
      <c r="Y43"/>
      <c r="Z43"/>
      <c r="AA43" s="36"/>
      <c r="AB43" s="28" t="s">
        <v>24</v>
      </c>
      <c r="AC43" s="28"/>
      <c r="AD43" s="28" t="str">
        <f>IF(AB43="Ya/Tidak",IF(AC43="Ya",1,IF(AC43="Tidak",0,"Blm Diisi")),IF(AB43="A/B/C",IF(AC43="A",1,IF(AC43="B",0.5,IF(AC43="C",0,"Blm Diisi"))),IF(AB43="A/B/C/D",IF(AC43="A",1,IF(AC43="B",0.67,IF(AC43="C",0.33,IF(AC43="D",0,"Blm Diisi")))),IF(AB43="A/B/C/D/E",IF(AC43="A",1,IF(AC43="B",0.75,IF(AC43="C",0.5,IF(AC43="D",0.25,IF(AC43="E",0,"Blm Diisi"))))),IF(AB43="%",IF(AC43="","Blm Diisi",AC43),IF(AB43="Jumlah",IF(AC43="","Blm Diisi",""),IF(AB43="Rupiah",IF(AC43="","Blm Diisi",""),IF(AB43="","","-"))))))))</f>
        <v>0</v>
      </c>
      <c r="AE43" s="28"/>
      <c r="AF43" s="36"/>
      <c r="AG43"/>
      <c r="AH43"/>
      <c r="AI43" s="36"/>
      <c r="AJ43" s="28" t="s">
        <v>24</v>
      </c>
      <c r="AK43" s="28"/>
      <c r="AL43" s="28" t="str">
        <f>IF(AJ43="Ya/Tidak",IF(AK43="Ya",1,IF(AK43="Tidak",0,"Blm Diisi")),IF(AJ43="A/B/C",IF(AK43="A",1,IF(AK43="B",0.5,IF(AK43="C",0,"Blm Diisi"))),IF(AJ43="A/B/C/D",IF(AK43="A",1,IF(AK43="B",0.67,IF(AK43="C",0.33,IF(AK43="D",0,"Blm Diisi")))),IF(AJ43="A/B/C/D/E",IF(AK43="A",1,IF(AK43="B",0.75,IF(AK43="C",0.5,IF(AK43="D",0.25,IF(AK43="E",0,"Blm Diisi"))))),IF(AJ43="%",IF(AK43="","Blm Diisi",AK43),IF(AJ43="Jumlah",IF(AK43="","Blm Diisi",""),IF(AJ43="Rupiah",IF(AK43="","Blm Diisi",""),IF(AJ43="","","-"))))))))</f>
        <v>0</v>
      </c>
      <c r="AM43" s="28"/>
      <c r="AN43" s="36"/>
    </row>
    <row r="44" spans="1:40">
      <c r="B44" s="22"/>
      <c r="C44" s="22"/>
      <c r="D44" s="22"/>
      <c r="E44" s="22" t="s">
        <v>59</v>
      </c>
      <c r="F44" s="22" t="s">
        <v>205</v>
      </c>
      <c r="G44" s="22"/>
      <c r="H44" s="27">
        <v>1.25</v>
      </c>
      <c r="I44" s="22"/>
      <c r="J44" s="27"/>
      <c r="K44" s="27"/>
      <c r="L44" s="27" t="str">
        <f>AVERAGE(L45:L50)*H44</f>
        <v>0</v>
      </c>
      <c r="M44" s="27" t="str">
        <f>L44/H44</f>
        <v>0</v>
      </c>
      <c r="N44" s="1"/>
      <c r="O44" s="22"/>
      <c r="P44" s="22"/>
      <c r="Q44" s="34"/>
      <c r="R44"/>
      <c r="S44" s="36">
        <v>1.25</v>
      </c>
      <c r="T44" s="28"/>
      <c r="U44" s="28"/>
      <c r="V44" s="28" t="str">
        <f>AVERAGE(V45:V50)*S44</f>
        <v>0</v>
      </c>
      <c r="W44" s="28" t="str">
        <f>V44/S44</f>
        <v>0</v>
      </c>
      <c r="X44" s="36"/>
      <c r="Y44"/>
      <c r="Z44"/>
      <c r="AA44" s="36">
        <v>1.25</v>
      </c>
      <c r="AB44" s="28"/>
      <c r="AC44" s="28"/>
      <c r="AD44" s="28" t="str">
        <f>AVERAGE(AD45:AD50)*AA44</f>
        <v>0</v>
      </c>
      <c r="AE44" s="28" t="str">
        <f>AD44/AA44</f>
        <v>0</v>
      </c>
      <c r="AF44" s="36"/>
      <c r="AG44"/>
      <c r="AH44"/>
      <c r="AI44" s="36">
        <v>1.25</v>
      </c>
      <c r="AJ44" s="28"/>
      <c r="AK44" s="28"/>
      <c r="AL44" s="28" t="str">
        <f>AVERAGE(AL45:AL50)*AI44</f>
        <v>0</v>
      </c>
      <c r="AM44" s="28" t="str">
        <f>AL44/AI44</f>
        <v>0</v>
      </c>
      <c r="AN44" s="36"/>
    </row>
    <row r="45" spans="1:40">
      <c r="A45" t="s">
        <v>20</v>
      </c>
      <c r="B45" s="23"/>
      <c r="C45" s="23"/>
      <c r="D45" s="23"/>
      <c r="E45" s="23"/>
      <c r="F45" s="23" t="s">
        <v>21</v>
      </c>
      <c r="G45" s="23" t="s">
        <v>206</v>
      </c>
      <c r="H45" s="28"/>
      <c r="I45" s="23" t="s">
        <v>207</v>
      </c>
      <c r="J45" s="28" t="s">
        <v>24</v>
      </c>
      <c r="K45" s="29" t="s">
        <v>25</v>
      </c>
      <c r="L45" s="28" t="str">
        <f>IF(J45="Ya/Tidak",IF(K45="Ya",1,IF(K45="Tidak",0,"Blm Diisi")),IF(J45="A/B/C",IF(K45="A",1,IF(K45="B",0.5,IF(K45="C",0,"Blm Diisi"))),IF(J45="A/B/C/D",IF(K45="A",1,IF(K45="B",0.67,IF(K45="C",0.33,IF(K45="D",0,"Blm Diisi")))),IF(J45="A/B/C/D/E",IF(K45="A",1,IF(K45="B",0.75,IF(K45="C",0.5,IF(K45="D",0.25,IF(K45="E",0,"Blm Diisi"))))),IF(J45="%",IF(K45="","Blm Diisi",K45),IF(J45="Jumlah",IF(K45="","Blm Diisi",""),IF(J45="Rupiah",IF(K45="","Blm Diisi",""),IF(J45="","","-"))))))))</f>
        <v>0</v>
      </c>
      <c r="M45" s="28"/>
      <c r="O45" s="30" t="s">
        <v>208</v>
      </c>
      <c r="P45" s="30" t="s">
        <v>209</v>
      </c>
      <c r="Q45" s="35" t="s">
        <v>210</v>
      </c>
      <c r="R45"/>
      <c r="S45" s="36"/>
      <c r="T45" s="28" t="s">
        <v>24</v>
      </c>
      <c r="U45" s="28" t="s">
        <v>25</v>
      </c>
      <c r="V45" s="28" t="str">
        <f>IF(T45="Ya/Tidak",IF(U45="Ya",1,IF(U45="Tidak",0,"Blm Diisi")),IF(T45="A/B/C",IF(U45="A",1,IF(U45="B",0.5,IF(U45="C",0,"Blm Diisi"))),IF(T45="A/B/C/D",IF(U45="A",1,IF(U45="B",0.67,IF(U45="C",0.33,IF(U45="D",0,"Blm Diisi")))),IF(T45="A/B/C/D/E",IF(U45="A",1,IF(U45="B",0.75,IF(U45="C",0.5,IF(U45="D",0.25,IF(U45="E",0,"Blm Diisi"))))),IF(T45="%",IF(U45="","Blm Diisi",U45),IF(T45="Jumlah",IF(U45="","Blm Diisi",""),IF(T45="Rupiah",IF(U45="","Blm Diisi",""),IF(T45="","","-"))))))))</f>
        <v>0</v>
      </c>
      <c r="W45" s="28"/>
      <c r="X45" s="36" t="s">
        <v>211</v>
      </c>
      <c r="Y45"/>
      <c r="Z45"/>
      <c r="AA45" s="36"/>
      <c r="AB45" s="28" t="s">
        <v>24</v>
      </c>
      <c r="AC45" s="28"/>
      <c r="AD45" s="28" t="str">
        <f>IF(AB45="Ya/Tidak",IF(AC45="Ya",1,IF(AC45="Tidak",0,"Blm Diisi")),IF(AB45="A/B/C",IF(AC45="A",1,IF(AC45="B",0.5,IF(AC45="C",0,"Blm Diisi"))),IF(AB45="A/B/C/D",IF(AC45="A",1,IF(AC45="B",0.67,IF(AC45="C",0.33,IF(AC45="D",0,"Blm Diisi")))),IF(AB45="A/B/C/D/E",IF(AC45="A",1,IF(AC45="B",0.75,IF(AC45="C",0.5,IF(AC45="D",0.25,IF(AC45="E",0,"Blm Diisi"))))),IF(AB45="%",IF(AC45="","Blm Diisi",AC45),IF(AB45="Jumlah",IF(AC45="","Blm Diisi",""),IF(AB45="Rupiah",IF(AC45="","Blm Diisi",""),IF(AB45="","","-"))))))))</f>
        <v>0</v>
      </c>
      <c r="AE45" s="28"/>
      <c r="AF45" s="36"/>
      <c r="AG45"/>
      <c r="AH45"/>
      <c r="AI45" s="36"/>
      <c r="AJ45" s="28" t="s">
        <v>24</v>
      </c>
      <c r="AK45" s="28"/>
      <c r="AL45" s="28" t="str">
        <f>IF(AJ45="Ya/Tidak",IF(AK45="Ya",1,IF(AK45="Tidak",0,"Blm Diisi")),IF(AJ45="A/B/C",IF(AK45="A",1,IF(AK45="B",0.5,IF(AK45="C",0,"Blm Diisi"))),IF(AJ45="A/B/C/D",IF(AK45="A",1,IF(AK45="B",0.67,IF(AK45="C",0.33,IF(AK45="D",0,"Blm Diisi")))),IF(AJ45="A/B/C/D/E",IF(AK45="A",1,IF(AK45="B",0.75,IF(AK45="C",0.5,IF(AK45="D",0.25,IF(AK45="E",0,"Blm Diisi"))))),IF(AJ45="%",IF(AK45="","Blm Diisi",AK45),IF(AJ45="Jumlah",IF(AK45="","Blm Diisi",""),IF(AJ45="Rupiah",IF(AK45="","Blm Diisi",""),IF(AJ45="","","-"))))))))</f>
        <v>0</v>
      </c>
      <c r="AM45" s="28"/>
      <c r="AN45" s="36"/>
    </row>
    <row r="46" spans="1:40">
      <c r="A46" t="s">
        <v>20</v>
      </c>
      <c r="B46" s="23"/>
      <c r="C46" s="23"/>
      <c r="D46" s="23"/>
      <c r="E46" s="23"/>
      <c r="F46" s="23" t="s">
        <v>30</v>
      </c>
      <c r="G46" s="23" t="s">
        <v>212</v>
      </c>
      <c r="H46" s="28"/>
      <c r="I46" s="23" t="s">
        <v>213</v>
      </c>
      <c r="J46" s="28" t="s">
        <v>63</v>
      </c>
      <c r="K46" s="29" t="s">
        <v>34</v>
      </c>
      <c r="L46" s="28" t="str">
        <f>IF(J46="Ya/Tidak",IF(K46="Ya",1,IF(K46="Tidak",0,"Blm Diisi")),IF(J46="A/B/C",IF(K46="A",1,IF(K46="B",0.5,IF(K46="C",0,"Blm Diisi"))),IF(J46="A/B/C/D",IF(K46="A",1,IF(K46="B",0.67,IF(K46="C",0.33,IF(K46="D",0,"Blm Diisi")))),IF(J46="A/B/C/D/E",IF(K46="A",1,IF(K46="B",0.75,IF(K46="C",0.5,IF(K46="D",0.25,IF(K46="E",0,"Blm Diisi"))))),IF(J46="%",IF(K46="","Blm Diisi",K46),IF(J46="Jumlah",IF(K46="","Blm Diisi",""),IF(J46="Rupiah",IF(K46="","Blm Diisi",""),IF(J46="","","-"))))))))</f>
        <v>0</v>
      </c>
      <c r="M46" s="28"/>
      <c r="O46" s="30" t="s">
        <v>214</v>
      </c>
      <c r="P46" s="30" t="s">
        <v>215</v>
      </c>
      <c r="Q46" s="35" t="s">
        <v>216</v>
      </c>
      <c r="R46"/>
      <c r="S46" s="36"/>
      <c r="T46" s="28" t="s">
        <v>63</v>
      </c>
      <c r="U46" s="28" t="s">
        <v>34</v>
      </c>
      <c r="V46" s="28" t="str">
        <f>IF(T46="Ya/Tidak",IF(U46="Ya",1,IF(U46="Tidak",0,"Blm Diisi")),IF(T46="A/B/C",IF(U46="A",1,IF(U46="B",0.5,IF(U46="C",0,"Blm Diisi"))),IF(T46="A/B/C/D",IF(U46="A",1,IF(U46="B",0.67,IF(U46="C",0.33,IF(U46="D",0,"Blm Diisi")))),IF(T46="A/B/C/D/E",IF(U46="A",1,IF(U46="B",0.75,IF(U46="C",0.5,IF(U46="D",0.25,IF(U46="E",0,"Blm Diisi"))))),IF(T46="%",IF(U46="","Blm Diisi",U46),IF(T46="Jumlah",IF(U46="","Blm Diisi",""),IF(T46="Rupiah",IF(U46="","Blm Diisi",""),IF(T46="","","-"))))))))</f>
        <v>0</v>
      </c>
      <c r="W46" s="28"/>
      <c r="X46" s="36" t="s">
        <v>217</v>
      </c>
      <c r="Y46"/>
      <c r="Z46"/>
      <c r="AA46" s="36"/>
      <c r="AB46" s="28" t="s">
        <v>63</v>
      </c>
      <c r="AC46" s="28"/>
      <c r="AD46" s="28" t="str">
        <f>IF(AB46="Ya/Tidak",IF(AC46="Ya",1,IF(AC46="Tidak",0,"Blm Diisi")),IF(AB46="A/B/C",IF(AC46="A",1,IF(AC46="B",0.5,IF(AC46="C",0,"Blm Diisi"))),IF(AB46="A/B/C/D",IF(AC46="A",1,IF(AC46="B",0.67,IF(AC46="C",0.33,IF(AC46="D",0,"Blm Diisi")))),IF(AB46="A/B/C/D/E",IF(AC46="A",1,IF(AC46="B",0.75,IF(AC46="C",0.5,IF(AC46="D",0.25,IF(AC46="E",0,"Blm Diisi"))))),IF(AB46="%",IF(AC46="","Blm Diisi",AC46),IF(AB46="Jumlah",IF(AC46="","Blm Diisi",""),IF(AB46="Rupiah",IF(AC46="","Blm Diisi",""),IF(AB46="","","-"))))))))</f>
        <v>0</v>
      </c>
      <c r="AE46" s="28"/>
      <c r="AF46" s="36"/>
      <c r="AG46"/>
      <c r="AH46"/>
      <c r="AI46" s="36"/>
      <c r="AJ46" s="28" t="s">
        <v>63</v>
      </c>
      <c r="AK46" s="28"/>
      <c r="AL46" s="28" t="str">
        <f>IF(AJ46="Ya/Tidak",IF(AK46="Ya",1,IF(AK46="Tidak",0,"Blm Diisi")),IF(AJ46="A/B/C",IF(AK46="A",1,IF(AK46="B",0.5,IF(AK46="C",0,"Blm Diisi"))),IF(AJ46="A/B/C/D",IF(AK46="A",1,IF(AK46="B",0.67,IF(AK46="C",0.33,IF(AK46="D",0,"Blm Diisi")))),IF(AJ46="A/B/C/D/E",IF(AK46="A",1,IF(AK46="B",0.75,IF(AK46="C",0.5,IF(AK46="D",0.25,IF(AK46="E",0,"Blm Diisi"))))),IF(AJ46="%",IF(AK46="","Blm Diisi",AK46),IF(AJ46="Jumlah",IF(AK46="","Blm Diisi",""),IF(AJ46="Rupiah",IF(AK46="","Blm Diisi",""),IF(AJ46="","","-"))))))))</f>
        <v>0</v>
      </c>
      <c r="AM46" s="28"/>
      <c r="AN46" s="36"/>
    </row>
    <row r="47" spans="1:40">
      <c r="A47" t="s">
        <v>20</v>
      </c>
      <c r="B47" s="23"/>
      <c r="C47" s="23"/>
      <c r="D47" s="23"/>
      <c r="E47" s="23"/>
      <c r="F47" s="23" t="s">
        <v>52</v>
      </c>
      <c r="G47" s="23" t="s">
        <v>218</v>
      </c>
      <c r="H47" s="28"/>
      <c r="I47" s="23" t="s">
        <v>219</v>
      </c>
      <c r="J47" s="28" t="s">
        <v>63</v>
      </c>
      <c r="K47" s="29" t="s">
        <v>38</v>
      </c>
      <c r="L47" s="28" t="str">
        <f>IF(J47="Ya/Tidak",IF(K47="Ya",1,IF(K47="Tidak",0,"Blm Diisi")),IF(J47="A/B/C",IF(K47="A",1,IF(K47="B",0.5,IF(K47="C",0,"Blm Diisi"))),IF(J47="A/B/C/D",IF(K47="A",1,IF(K47="B",0.67,IF(K47="C",0.33,IF(K47="D",0,"Blm Diisi")))),IF(J47="A/B/C/D/E",IF(K47="A",1,IF(K47="B",0.75,IF(K47="C",0.5,IF(K47="D",0.25,IF(K47="E",0,"Blm Diisi"))))),IF(J47="%",IF(K47="","Blm Diisi",K47),IF(J47="Jumlah",IF(K47="","Blm Diisi",""),IF(J47="Rupiah",IF(K47="","Blm Diisi",""),IF(J47="","","-"))))))))</f>
        <v>0</v>
      </c>
      <c r="M47" s="28"/>
      <c r="O47" s="30" t="s">
        <v>220</v>
      </c>
      <c r="P47" s="30" t="s">
        <v>221</v>
      </c>
      <c r="Q47" s="35" t="s">
        <v>222</v>
      </c>
      <c r="R47"/>
      <c r="S47" s="36"/>
      <c r="T47" s="28" t="s">
        <v>63</v>
      </c>
      <c r="U47" s="28" t="s">
        <v>38</v>
      </c>
      <c r="V47" s="28" t="str">
        <f>IF(T47="Ya/Tidak",IF(U47="Ya",1,IF(U47="Tidak",0,"Blm Diisi")),IF(T47="A/B/C",IF(U47="A",1,IF(U47="B",0.5,IF(U47="C",0,"Blm Diisi"))),IF(T47="A/B/C/D",IF(U47="A",1,IF(U47="B",0.67,IF(U47="C",0.33,IF(U47="D",0,"Blm Diisi")))),IF(T47="A/B/C/D/E",IF(U47="A",1,IF(U47="B",0.75,IF(U47="C",0.5,IF(U47="D",0.25,IF(U47="E",0,"Blm Diisi"))))),IF(T47="%",IF(U47="","Blm Diisi",U47),IF(T47="Jumlah",IF(U47="","Blm Diisi",""),IF(T47="Rupiah",IF(U47="","Blm Diisi",""),IF(T47="","","-"))))))))</f>
        <v>0</v>
      </c>
      <c r="W47" s="28"/>
      <c r="X47" s="36" t="s">
        <v>223</v>
      </c>
      <c r="Y47"/>
      <c r="Z47"/>
      <c r="AA47" s="36"/>
      <c r="AB47" s="28" t="s">
        <v>63</v>
      </c>
      <c r="AC47" s="28"/>
      <c r="AD47" s="28" t="str">
        <f>IF(AB47="Ya/Tidak",IF(AC47="Ya",1,IF(AC47="Tidak",0,"Blm Diisi")),IF(AB47="A/B/C",IF(AC47="A",1,IF(AC47="B",0.5,IF(AC47="C",0,"Blm Diisi"))),IF(AB47="A/B/C/D",IF(AC47="A",1,IF(AC47="B",0.67,IF(AC47="C",0.33,IF(AC47="D",0,"Blm Diisi")))),IF(AB47="A/B/C/D/E",IF(AC47="A",1,IF(AC47="B",0.75,IF(AC47="C",0.5,IF(AC47="D",0.25,IF(AC47="E",0,"Blm Diisi"))))),IF(AB47="%",IF(AC47="","Blm Diisi",AC47),IF(AB47="Jumlah",IF(AC47="","Blm Diisi",""),IF(AB47="Rupiah",IF(AC47="","Blm Diisi",""),IF(AB47="","","-"))))))))</f>
        <v>0</v>
      </c>
      <c r="AE47" s="28"/>
      <c r="AF47" s="36"/>
      <c r="AG47"/>
      <c r="AH47"/>
      <c r="AI47" s="36"/>
      <c r="AJ47" s="28" t="s">
        <v>63</v>
      </c>
      <c r="AK47" s="28"/>
      <c r="AL47" s="28" t="str">
        <f>IF(AJ47="Ya/Tidak",IF(AK47="Ya",1,IF(AK47="Tidak",0,"Blm Diisi")),IF(AJ47="A/B/C",IF(AK47="A",1,IF(AK47="B",0.5,IF(AK47="C",0,"Blm Diisi"))),IF(AJ47="A/B/C/D",IF(AK47="A",1,IF(AK47="B",0.67,IF(AK47="C",0.33,IF(AK47="D",0,"Blm Diisi")))),IF(AJ47="A/B/C/D/E",IF(AK47="A",1,IF(AK47="B",0.75,IF(AK47="C",0.5,IF(AK47="D",0.25,IF(AK47="E",0,"Blm Diisi"))))),IF(AJ47="%",IF(AK47="","Blm Diisi",AK47),IF(AJ47="Jumlah",IF(AK47="","Blm Diisi",""),IF(AJ47="Rupiah",IF(AK47="","Blm Diisi",""),IF(AJ47="","","-"))))))))</f>
        <v>0</v>
      </c>
      <c r="AM47" s="28"/>
      <c r="AN47" s="36"/>
    </row>
    <row r="48" spans="1:40">
      <c r="A48" t="s">
        <v>20</v>
      </c>
      <c r="B48" s="23"/>
      <c r="C48" s="23"/>
      <c r="D48" s="23"/>
      <c r="E48" s="23"/>
      <c r="F48" s="23" t="s">
        <v>99</v>
      </c>
      <c r="G48" s="23" t="s">
        <v>224</v>
      </c>
      <c r="H48" s="28"/>
      <c r="I48" s="23" t="s">
        <v>225</v>
      </c>
      <c r="J48" s="28" t="s">
        <v>63</v>
      </c>
      <c r="K48" s="29" t="s">
        <v>34</v>
      </c>
      <c r="L48" s="28" t="str">
        <f>IF(J48="Ya/Tidak",IF(K48="Ya",1,IF(K48="Tidak",0,"Blm Diisi")),IF(J48="A/B/C",IF(K48="A",1,IF(K48="B",0.5,IF(K48="C",0,"Blm Diisi"))),IF(J48="A/B/C/D",IF(K48="A",1,IF(K48="B",0.67,IF(K48="C",0.33,IF(K48="D",0,"Blm Diisi")))),IF(J48="A/B/C/D/E",IF(K48="A",1,IF(K48="B",0.75,IF(K48="C",0.5,IF(K48="D",0.25,IF(K48="E",0,"Blm Diisi"))))),IF(J48="%",IF(K48="","Blm Diisi",K48),IF(J48="Jumlah",IF(K48="","Blm Diisi",""),IF(J48="Rupiah",IF(K48="","Blm Diisi",""),IF(J48="","","-"))))))))</f>
        <v>0</v>
      </c>
      <c r="M48" s="28"/>
      <c r="O48" s="30" t="s">
        <v>220</v>
      </c>
      <c r="P48" s="30" t="s">
        <v>226</v>
      </c>
      <c r="Q48" s="35" t="s">
        <v>227</v>
      </c>
      <c r="R48"/>
      <c r="S48" s="36"/>
      <c r="T48" s="28" t="s">
        <v>63</v>
      </c>
      <c r="U48" s="28" t="s">
        <v>34</v>
      </c>
      <c r="V48" s="28" t="str">
        <f>IF(T48="Ya/Tidak",IF(U48="Ya",1,IF(U48="Tidak",0,"Blm Diisi")),IF(T48="A/B/C",IF(U48="A",1,IF(U48="B",0.5,IF(U48="C",0,"Blm Diisi"))),IF(T48="A/B/C/D",IF(U48="A",1,IF(U48="B",0.67,IF(U48="C",0.33,IF(U48="D",0,"Blm Diisi")))),IF(T48="A/B/C/D/E",IF(U48="A",1,IF(U48="B",0.75,IF(U48="C",0.5,IF(U48="D",0.25,IF(U48="E",0,"Blm Diisi"))))),IF(T48="%",IF(U48="","Blm Diisi",U48),IF(T48="Jumlah",IF(U48="","Blm Diisi",""),IF(T48="Rupiah",IF(U48="","Blm Diisi",""),IF(T48="","","-"))))))))</f>
        <v>0</v>
      </c>
      <c r="W48" s="28"/>
      <c r="X48" s="36" t="s">
        <v>228</v>
      </c>
      <c r="Y48"/>
      <c r="Z48"/>
      <c r="AA48" s="36"/>
      <c r="AB48" s="28" t="s">
        <v>63</v>
      </c>
      <c r="AC48" s="28"/>
      <c r="AD48" s="28" t="str">
        <f>IF(AB48="Ya/Tidak",IF(AC48="Ya",1,IF(AC48="Tidak",0,"Blm Diisi")),IF(AB48="A/B/C",IF(AC48="A",1,IF(AC48="B",0.5,IF(AC48="C",0,"Blm Diisi"))),IF(AB48="A/B/C/D",IF(AC48="A",1,IF(AC48="B",0.67,IF(AC48="C",0.33,IF(AC48="D",0,"Blm Diisi")))),IF(AB48="A/B/C/D/E",IF(AC48="A",1,IF(AC48="B",0.75,IF(AC48="C",0.5,IF(AC48="D",0.25,IF(AC48="E",0,"Blm Diisi"))))),IF(AB48="%",IF(AC48="","Blm Diisi",AC48),IF(AB48="Jumlah",IF(AC48="","Blm Diisi",""),IF(AB48="Rupiah",IF(AC48="","Blm Diisi",""),IF(AB48="","","-"))))))))</f>
        <v>0</v>
      </c>
      <c r="AE48" s="28"/>
      <c r="AF48" s="36"/>
      <c r="AG48"/>
      <c r="AH48"/>
      <c r="AI48" s="36"/>
      <c r="AJ48" s="28" t="s">
        <v>63</v>
      </c>
      <c r="AK48" s="28"/>
      <c r="AL48" s="28" t="str">
        <f>IF(AJ48="Ya/Tidak",IF(AK48="Ya",1,IF(AK48="Tidak",0,"Blm Diisi")),IF(AJ48="A/B/C",IF(AK48="A",1,IF(AK48="B",0.5,IF(AK48="C",0,"Blm Diisi"))),IF(AJ48="A/B/C/D",IF(AK48="A",1,IF(AK48="B",0.67,IF(AK48="C",0.33,IF(AK48="D",0,"Blm Diisi")))),IF(AJ48="A/B/C/D/E",IF(AK48="A",1,IF(AK48="B",0.75,IF(AK48="C",0.5,IF(AK48="D",0.25,IF(AK48="E",0,"Blm Diisi"))))),IF(AJ48="%",IF(AK48="","Blm Diisi",AK48),IF(AJ48="Jumlah",IF(AK48="","Blm Diisi",""),IF(AJ48="Rupiah",IF(AK48="","Blm Diisi",""),IF(AJ48="","","-"))))))))</f>
        <v>0</v>
      </c>
      <c r="AM48" s="28"/>
      <c r="AN48" s="36"/>
    </row>
    <row r="49" spans="1:40">
      <c r="A49" t="s">
        <v>20</v>
      </c>
      <c r="B49" s="23"/>
      <c r="C49" s="23"/>
      <c r="D49" s="23"/>
      <c r="E49" s="23"/>
      <c r="F49" s="23" t="s">
        <v>229</v>
      </c>
      <c r="G49" s="23" t="s">
        <v>230</v>
      </c>
      <c r="H49" s="28"/>
      <c r="I49" s="23" t="s">
        <v>231</v>
      </c>
      <c r="J49" s="28" t="s">
        <v>63</v>
      </c>
      <c r="K49" s="29" t="s">
        <v>34</v>
      </c>
      <c r="L49" s="28" t="str">
        <f>IF(J49="Ya/Tidak",IF(K49="Ya",1,IF(K49="Tidak",0,"Blm Diisi")),IF(J49="A/B/C",IF(K49="A",1,IF(K49="B",0.5,IF(K49="C",0,"Blm Diisi"))),IF(J49="A/B/C/D",IF(K49="A",1,IF(K49="B",0.67,IF(K49="C",0.33,IF(K49="D",0,"Blm Diisi")))),IF(J49="A/B/C/D/E",IF(K49="A",1,IF(K49="B",0.75,IF(K49="C",0.5,IF(K49="D",0.25,IF(K49="E",0,"Blm Diisi"))))),IF(J49="%",IF(K49="","Blm Diisi",K49),IF(J49="Jumlah",IF(K49="","Blm Diisi",""),IF(J49="Rupiah",IF(K49="","Blm Diisi",""),IF(J49="","","-"))))))))</f>
        <v>0</v>
      </c>
      <c r="M49" s="28"/>
      <c r="O49" s="30" t="s">
        <v>232</v>
      </c>
      <c r="P49" s="30" t="s">
        <v>233</v>
      </c>
      <c r="Q49" s="35" t="s">
        <v>234</v>
      </c>
      <c r="R49"/>
      <c r="S49" s="36"/>
      <c r="T49" s="28" t="s">
        <v>63</v>
      </c>
      <c r="U49" s="28" t="s">
        <v>34</v>
      </c>
      <c r="V49" s="28" t="str">
        <f>IF(T49="Ya/Tidak",IF(U49="Ya",1,IF(U49="Tidak",0,"Blm Diisi")),IF(T49="A/B/C",IF(U49="A",1,IF(U49="B",0.5,IF(U49="C",0,"Blm Diisi"))),IF(T49="A/B/C/D",IF(U49="A",1,IF(U49="B",0.67,IF(U49="C",0.33,IF(U49="D",0,"Blm Diisi")))),IF(T49="A/B/C/D/E",IF(U49="A",1,IF(U49="B",0.75,IF(U49="C",0.5,IF(U49="D",0.25,IF(U49="E",0,"Blm Diisi"))))),IF(T49="%",IF(U49="","Blm Diisi",U49),IF(T49="Jumlah",IF(U49="","Blm Diisi",""),IF(T49="Rupiah",IF(U49="","Blm Diisi",""),IF(T49="","","-"))))))))</f>
        <v>0</v>
      </c>
      <c r="W49" s="28"/>
      <c r="X49" s="36" t="s">
        <v>235</v>
      </c>
      <c r="Y49"/>
      <c r="Z49"/>
      <c r="AA49" s="36"/>
      <c r="AB49" s="28" t="s">
        <v>63</v>
      </c>
      <c r="AC49" s="28"/>
      <c r="AD49" s="28" t="str">
        <f>IF(AB49="Ya/Tidak",IF(AC49="Ya",1,IF(AC49="Tidak",0,"Blm Diisi")),IF(AB49="A/B/C",IF(AC49="A",1,IF(AC49="B",0.5,IF(AC49="C",0,"Blm Diisi"))),IF(AB49="A/B/C/D",IF(AC49="A",1,IF(AC49="B",0.67,IF(AC49="C",0.33,IF(AC49="D",0,"Blm Diisi")))),IF(AB49="A/B/C/D/E",IF(AC49="A",1,IF(AC49="B",0.75,IF(AC49="C",0.5,IF(AC49="D",0.25,IF(AC49="E",0,"Blm Diisi"))))),IF(AB49="%",IF(AC49="","Blm Diisi",AC49),IF(AB49="Jumlah",IF(AC49="","Blm Diisi",""),IF(AB49="Rupiah",IF(AC49="","Blm Diisi",""),IF(AB49="","","-"))))))))</f>
        <v>0</v>
      </c>
      <c r="AE49" s="28"/>
      <c r="AF49" s="36"/>
      <c r="AG49"/>
      <c r="AH49"/>
      <c r="AI49" s="36"/>
      <c r="AJ49" s="28" t="s">
        <v>63</v>
      </c>
      <c r="AK49" s="28"/>
      <c r="AL49" s="28" t="str">
        <f>IF(AJ49="Ya/Tidak",IF(AK49="Ya",1,IF(AK49="Tidak",0,"Blm Diisi")),IF(AJ49="A/B/C",IF(AK49="A",1,IF(AK49="B",0.5,IF(AK49="C",0,"Blm Diisi"))),IF(AJ49="A/B/C/D",IF(AK49="A",1,IF(AK49="B",0.67,IF(AK49="C",0.33,IF(AK49="D",0,"Blm Diisi")))),IF(AJ49="A/B/C/D/E",IF(AK49="A",1,IF(AK49="B",0.75,IF(AK49="C",0.5,IF(AK49="D",0.25,IF(AK49="E",0,"Blm Diisi"))))),IF(AJ49="%",IF(AK49="","Blm Diisi",AK49),IF(AJ49="Jumlah",IF(AK49="","Blm Diisi",""),IF(AJ49="Rupiah",IF(AK49="","Blm Diisi",""),IF(AJ49="","","-"))))))))</f>
        <v>0</v>
      </c>
      <c r="AM49" s="28"/>
      <c r="AN49" s="36"/>
    </row>
    <row r="50" spans="1:40">
      <c r="A50" t="s">
        <v>20</v>
      </c>
      <c r="B50" s="23"/>
      <c r="C50" s="23"/>
      <c r="D50" s="23"/>
      <c r="E50" s="23"/>
      <c r="F50" s="23" t="s">
        <v>236</v>
      </c>
      <c r="G50" s="23" t="s">
        <v>237</v>
      </c>
      <c r="H50" s="28"/>
      <c r="I50" s="23" t="s">
        <v>238</v>
      </c>
      <c r="J50" s="28" t="s">
        <v>33</v>
      </c>
      <c r="K50" s="29" t="s">
        <v>34</v>
      </c>
      <c r="L50" s="28" t="str">
        <f>IF(J50="Ya/Tidak",IF(K50="Ya",1,IF(K50="Tidak",0,"Blm Diisi")),IF(J50="A/B/C",IF(K50="A",1,IF(K50="B",0.5,IF(K50="C",0,"Blm Diisi"))),IF(J50="A/B/C/D",IF(K50="A",1,IF(K50="B",0.67,IF(K50="C",0.33,IF(K50="D",0,"Blm Diisi")))),IF(J50="A/B/C/D/E",IF(K50="A",1,IF(K50="B",0.75,IF(K50="C",0.5,IF(K50="D",0.25,IF(K50="E",0,"Blm Diisi"))))),IF(J50="%",IF(K50="","Blm Diisi",K50),IF(J50="Jumlah",IF(K50="","Blm Diisi",""),IF(J50="Rupiah",IF(K50="","Blm Diisi",""),IF(J50="","","-"))))))))</f>
        <v>0</v>
      </c>
      <c r="M50" s="28"/>
      <c r="O50" s="30" t="s">
        <v>239</v>
      </c>
      <c r="P50" s="30" t="s">
        <v>240</v>
      </c>
      <c r="Q50" s="35" t="s">
        <v>241</v>
      </c>
      <c r="R50"/>
      <c r="S50" s="36"/>
      <c r="T50" s="28" t="s">
        <v>33</v>
      </c>
      <c r="U50" s="28" t="s">
        <v>34</v>
      </c>
      <c r="V50" s="28" t="str">
        <f>IF(T50="Ya/Tidak",IF(U50="Ya",1,IF(U50="Tidak",0,"Blm Diisi")),IF(T50="A/B/C",IF(U50="A",1,IF(U50="B",0.5,IF(U50="C",0,"Blm Diisi"))),IF(T50="A/B/C/D",IF(U50="A",1,IF(U50="B",0.67,IF(U50="C",0.33,IF(U50="D",0,"Blm Diisi")))),IF(T50="A/B/C/D/E",IF(U50="A",1,IF(U50="B",0.75,IF(U50="C",0.5,IF(U50="D",0.25,IF(U50="E",0,"Blm Diisi"))))),IF(T50="%",IF(U50="","Blm Diisi",U50),IF(T50="Jumlah",IF(U50="","Blm Diisi",""),IF(T50="Rupiah",IF(U50="","Blm Diisi",""),IF(T50="","","-"))))))))</f>
        <v>0</v>
      </c>
      <c r="W50" s="28"/>
      <c r="X50" s="36" t="s">
        <v>242</v>
      </c>
      <c r="Y50"/>
      <c r="Z50"/>
      <c r="AA50" s="36"/>
      <c r="AB50" s="28" t="s">
        <v>33</v>
      </c>
      <c r="AC50" s="28"/>
      <c r="AD50" s="28" t="str">
        <f>IF(AB50="Ya/Tidak",IF(AC50="Ya",1,IF(AC50="Tidak",0,"Blm Diisi")),IF(AB50="A/B/C",IF(AC50="A",1,IF(AC50="B",0.5,IF(AC50="C",0,"Blm Diisi"))),IF(AB50="A/B/C/D",IF(AC50="A",1,IF(AC50="B",0.67,IF(AC50="C",0.33,IF(AC50="D",0,"Blm Diisi")))),IF(AB50="A/B/C/D/E",IF(AC50="A",1,IF(AC50="B",0.75,IF(AC50="C",0.5,IF(AC50="D",0.25,IF(AC50="E",0,"Blm Diisi"))))),IF(AB50="%",IF(AC50="","Blm Diisi",AC50),IF(AB50="Jumlah",IF(AC50="","Blm Diisi",""),IF(AB50="Rupiah",IF(AC50="","Blm Diisi",""),IF(AB50="","","-"))))))))</f>
        <v>0</v>
      </c>
      <c r="AE50" s="28"/>
      <c r="AF50" s="36"/>
      <c r="AG50"/>
      <c r="AH50"/>
      <c r="AI50" s="36"/>
      <c r="AJ50" s="28" t="s">
        <v>33</v>
      </c>
      <c r="AK50" s="28"/>
      <c r="AL50" s="28" t="str">
        <f>IF(AJ50="Ya/Tidak",IF(AK50="Ya",1,IF(AK50="Tidak",0,"Blm Diisi")),IF(AJ50="A/B/C",IF(AK50="A",1,IF(AK50="B",0.5,IF(AK50="C",0,"Blm Diisi"))),IF(AJ50="A/B/C/D",IF(AK50="A",1,IF(AK50="B",0.67,IF(AK50="C",0.33,IF(AK50="D",0,"Blm Diisi")))),IF(AJ50="A/B/C/D/E",IF(AK50="A",1,IF(AK50="B",0.75,IF(AK50="C",0.5,IF(AK50="D",0.25,IF(AK50="E",0,"Blm Diisi"))))),IF(AJ50="%",IF(AK50="","Blm Diisi",AK50),IF(AJ50="Jumlah",IF(AK50="","Blm Diisi",""),IF(AJ50="Rupiah",IF(AK50="","Blm Diisi",""),IF(AJ50="","","-"))))))))</f>
        <v>0</v>
      </c>
      <c r="AM50" s="28"/>
      <c r="AN50" s="36"/>
    </row>
    <row r="51" spans="1:40">
      <c r="B51" s="22"/>
      <c r="C51" s="22"/>
      <c r="D51" s="22"/>
      <c r="E51" s="22" t="s">
        <v>80</v>
      </c>
      <c r="F51" s="22" t="s">
        <v>243</v>
      </c>
      <c r="G51" s="22"/>
      <c r="H51" s="27">
        <v>2</v>
      </c>
      <c r="I51" s="22" t="s">
        <v>244</v>
      </c>
      <c r="J51" s="27"/>
      <c r="K51" s="27"/>
      <c r="L51" s="27" t="str">
        <f>AVERAGE(L52:L55)*H51</f>
        <v>0</v>
      </c>
      <c r="M51" s="27" t="str">
        <f>L51/H51</f>
        <v>0</v>
      </c>
      <c r="N51" s="1"/>
      <c r="O51" s="22"/>
      <c r="P51" s="22"/>
      <c r="Q51" s="34"/>
      <c r="R51"/>
      <c r="S51" s="36">
        <v>2</v>
      </c>
      <c r="T51" s="28"/>
      <c r="U51" s="28"/>
      <c r="V51" s="28" t="str">
        <f>AVERAGE(V52:V55)*S51</f>
        <v>0</v>
      </c>
      <c r="W51" s="28" t="str">
        <f>V51/S51</f>
        <v>0</v>
      </c>
      <c r="X51" s="36"/>
      <c r="Y51"/>
      <c r="Z51"/>
      <c r="AA51" s="36">
        <v>2</v>
      </c>
      <c r="AB51" s="28"/>
      <c r="AC51" s="28"/>
      <c r="AD51" s="28" t="str">
        <f>AVERAGE(AD52:AD55)*AA51</f>
        <v>0</v>
      </c>
      <c r="AE51" s="28" t="str">
        <f>AD51/AA51</f>
        <v>0</v>
      </c>
      <c r="AF51" s="36"/>
      <c r="AG51"/>
      <c r="AH51"/>
      <c r="AI51" s="36">
        <v>2</v>
      </c>
      <c r="AJ51" s="28"/>
      <c r="AK51" s="28"/>
      <c r="AL51" s="28" t="str">
        <f>AVERAGE(AL52:AL55)*AI51</f>
        <v>0</v>
      </c>
      <c r="AM51" s="28" t="str">
        <f>AL51/AI51</f>
        <v>0</v>
      </c>
      <c r="AN51" s="36"/>
    </row>
    <row r="52" spans="1:40">
      <c r="A52" t="s">
        <v>20</v>
      </c>
      <c r="B52" s="23"/>
      <c r="C52" s="23"/>
      <c r="D52" s="23"/>
      <c r="E52" s="23"/>
      <c r="F52" s="23" t="s">
        <v>21</v>
      </c>
      <c r="G52" s="23" t="s">
        <v>245</v>
      </c>
      <c r="H52" s="28"/>
      <c r="I52" s="23" t="s">
        <v>246</v>
      </c>
      <c r="J52" s="28" t="s">
        <v>63</v>
      </c>
      <c r="K52" s="29" t="s">
        <v>34</v>
      </c>
      <c r="L52" s="28" t="str">
        <f>IF(J52="Ya/Tidak",IF(K52="Ya",1,IF(K52="Tidak",0,"Blm Diisi")),IF(J52="A/B/C",IF(K52="A",1,IF(K52="B",0.5,IF(K52="C",0,"Blm Diisi"))),IF(J52="A/B/C/D",IF(K52="A",1,IF(K52="B",0.67,IF(K52="C",0.33,IF(K52="D",0,"Blm Diisi")))),IF(J52="A/B/C/D/E",IF(K52="A",1,IF(K52="B",0.75,IF(K52="C",0.5,IF(K52="D",0.25,IF(K52="E",0,"Blm Diisi"))))),IF(J52="%",IF(K52="","Blm Diisi",K52),IF(J52="Jumlah",IF(K52="","Blm Diisi",""),IF(J52="Rupiah",IF(K52="","Blm Diisi",""),IF(J52="","","-"))))))))</f>
        <v>0</v>
      </c>
      <c r="M52" s="28"/>
      <c r="O52" s="30" t="s">
        <v>247</v>
      </c>
      <c r="P52" s="30" t="s">
        <v>248</v>
      </c>
      <c r="Q52" s="35" t="s">
        <v>249</v>
      </c>
      <c r="R52"/>
      <c r="S52" s="36"/>
      <c r="T52" s="28" t="s">
        <v>63</v>
      </c>
      <c r="U52" s="28" t="s">
        <v>34</v>
      </c>
      <c r="V52" s="28" t="str">
        <f>IF(T52="Ya/Tidak",IF(U52="Ya",1,IF(U52="Tidak",0,"Blm Diisi")),IF(T52="A/B/C",IF(U52="A",1,IF(U52="B",0.5,IF(U52="C",0,"Blm Diisi"))),IF(T52="A/B/C/D",IF(U52="A",1,IF(U52="B",0.67,IF(U52="C",0.33,IF(U52="D",0,"Blm Diisi")))),IF(T52="A/B/C/D/E",IF(U52="A",1,IF(U52="B",0.75,IF(U52="C",0.5,IF(U52="D",0.25,IF(U52="E",0,"Blm Diisi"))))),IF(T52="%",IF(U52="","Blm Diisi",U52),IF(T52="Jumlah",IF(U52="","Blm Diisi",""),IF(T52="Rupiah",IF(U52="","Blm Diisi",""),IF(T52="","","-"))))))))</f>
        <v>0</v>
      </c>
      <c r="W52" s="28"/>
      <c r="X52" s="36" t="s">
        <v>250</v>
      </c>
      <c r="Y52"/>
      <c r="Z52"/>
      <c r="AA52" s="36"/>
      <c r="AB52" s="28" t="s">
        <v>63</v>
      </c>
      <c r="AC52" s="28"/>
      <c r="AD52" s="28" t="str">
        <f>IF(AB52="Ya/Tidak",IF(AC52="Ya",1,IF(AC52="Tidak",0,"Blm Diisi")),IF(AB52="A/B/C",IF(AC52="A",1,IF(AC52="B",0.5,IF(AC52="C",0,"Blm Diisi"))),IF(AB52="A/B/C/D",IF(AC52="A",1,IF(AC52="B",0.67,IF(AC52="C",0.33,IF(AC52="D",0,"Blm Diisi")))),IF(AB52="A/B/C/D/E",IF(AC52="A",1,IF(AC52="B",0.75,IF(AC52="C",0.5,IF(AC52="D",0.25,IF(AC52="E",0,"Blm Diisi"))))),IF(AB52="%",IF(AC52="","Blm Diisi",AC52),IF(AB52="Jumlah",IF(AC52="","Blm Diisi",""),IF(AB52="Rupiah",IF(AC52="","Blm Diisi",""),IF(AB52="","","-"))))))))</f>
        <v>0</v>
      </c>
      <c r="AE52" s="28"/>
      <c r="AF52" s="36"/>
      <c r="AG52"/>
      <c r="AH52"/>
      <c r="AI52" s="36"/>
      <c r="AJ52" s="28" t="s">
        <v>63</v>
      </c>
      <c r="AK52" s="28"/>
      <c r="AL52" s="28" t="str">
        <f>IF(AJ52="Ya/Tidak",IF(AK52="Ya",1,IF(AK52="Tidak",0,"Blm Diisi")),IF(AJ52="A/B/C",IF(AK52="A",1,IF(AK52="B",0.5,IF(AK52="C",0,"Blm Diisi"))),IF(AJ52="A/B/C/D",IF(AK52="A",1,IF(AK52="B",0.67,IF(AK52="C",0.33,IF(AK52="D",0,"Blm Diisi")))),IF(AJ52="A/B/C/D/E",IF(AK52="A",1,IF(AK52="B",0.75,IF(AK52="C",0.5,IF(AK52="D",0.25,IF(AK52="E",0,"Blm Diisi"))))),IF(AJ52="%",IF(AK52="","Blm Diisi",AK52),IF(AJ52="Jumlah",IF(AK52="","Blm Diisi",""),IF(AJ52="Rupiah",IF(AK52="","Blm Diisi",""),IF(AJ52="","","-"))))))))</f>
        <v>0</v>
      </c>
      <c r="AM52" s="28"/>
      <c r="AN52" s="36"/>
    </row>
    <row r="53" spans="1:40">
      <c r="A53" t="s">
        <v>20</v>
      </c>
      <c r="B53" s="23"/>
      <c r="C53" s="23"/>
      <c r="D53" s="23"/>
      <c r="E53" s="23"/>
      <c r="F53" s="23" t="s">
        <v>30</v>
      </c>
      <c r="G53" s="23" t="s">
        <v>251</v>
      </c>
      <c r="H53" s="28"/>
      <c r="I53" s="23" t="s">
        <v>252</v>
      </c>
      <c r="J53" s="28" t="s">
        <v>63</v>
      </c>
      <c r="K53" s="29" t="s">
        <v>34</v>
      </c>
      <c r="L53" s="28" t="str">
        <f>IF(J53="Ya/Tidak",IF(K53="Ya",1,IF(K53="Tidak",0,"Blm Diisi")),IF(J53="A/B/C",IF(K53="A",1,IF(K53="B",0.5,IF(K53="C",0,"Blm Diisi"))),IF(J53="A/B/C/D",IF(K53="A",1,IF(K53="B",0.67,IF(K53="C",0.33,IF(K53="D",0,"Blm Diisi")))),IF(J53="A/B/C/D/E",IF(K53="A",1,IF(K53="B",0.75,IF(K53="C",0.5,IF(K53="D",0.25,IF(K53="E",0,"Blm Diisi"))))),IF(J53="%",IF(K53="","Blm Diisi",K53),IF(J53="Jumlah",IF(K53="","Blm Diisi",""),IF(J53="Rupiah",IF(K53="","Blm Diisi",""),IF(J53="","","-"))))))))</f>
        <v>0</v>
      </c>
      <c r="M53" s="28"/>
      <c r="O53" s="30" t="s">
        <v>253</v>
      </c>
      <c r="P53" s="30" t="s">
        <v>254</v>
      </c>
      <c r="Q53" s="35" t="s">
        <v>255</v>
      </c>
      <c r="R53"/>
      <c r="S53" s="36"/>
      <c r="T53" s="28" t="s">
        <v>63</v>
      </c>
      <c r="U53" s="28" t="s">
        <v>34</v>
      </c>
      <c r="V53" s="28" t="str">
        <f>IF(T53="Ya/Tidak",IF(U53="Ya",1,IF(U53="Tidak",0,"Blm Diisi")),IF(T53="A/B/C",IF(U53="A",1,IF(U53="B",0.5,IF(U53="C",0,"Blm Diisi"))),IF(T53="A/B/C/D",IF(U53="A",1,IF(U53="B",0.67,IF(U53="C",0.33,IF(U53="D",0,"Blm Diisi")))),IF(T53="A/B/C/D/E",IF(U53="A",1,IF(U53="B",0.75,IF(U53="C",0.5,IF(U53="D",0.25,IF(U53="E",0,"Blm Diisi"))))),IF(T53="%",IF(U53="","Blm Diisi",U53),IF(T53="Jumlah",IF(U53="","Blm Diisi",""),IF(T53="Rupiah",IF(U53="","Blm Diisi",""),IF(T53="","","-"))))))))</f>
        <v>0</v>
      </c>
      <c r="W53" s="28"/>
      <c r="X53" s="36" t="s">
        <v>256</v>
      </c>
      <c r="Y53"/>
      <c r="Z53"/>
      <c r="AA53" s="36"/>
      <c r="AB53" s="28" t="s">
        <v>63</v>
      </c>
      <c r="AC53" s="28"/>
      <c r="AD53" s="28" t="str">
        <f>IF(AB53="Ya/Tidak",IF(AC53="Ya",1,IF(AC53="Tidak",0,"Blm Diisi")),IF(AB53="A/B/C",IF(AC53="A",1,IF(AC53="B",0.5,IF(AC53="C",0,"Blm Diisi"))),IF(AB53="A/B/C/D",IF(AC53="A",1,IF(AC53="B",0.67,IF(AC53="C",0.33,IF(AC53="D",0,"Blm Diisi")))),IF(AB53="A/B/C/D/E",IF(AC53="A",1,IF(AC53="B",0.75,IF(AC53="C",0.5,IF(AC53="D",0.25,IF(AC53="E",0,"Blm Diisi"))))),IF(AB53="%",IF(AC53="","Blm Diisi",AC53),IF(AB53="Jumlah",IF(AC53="","Blm Diisi",""),IF(AB53="Rupiah",IF(AC53="","Blm Diisi",""),IF(AB53="","","-"))))))))</f>
        <v>0</v>
      </c>
      <c r="AE53" s="28"/>
      <c r="AF53" s="36"/>
      <c r="AG53"/>
      <c r="AH53"/>
      <c r="AI53" s="36"/>
      <c r="AJ53" s="28" t="s">
        <v>63</v>
      </c>
      <c r="AK53" s="28"/>
      <c r="AL53" s="28" t="str">
        <f>IF(AJ53="Ya/Tidak",IF(AK53="Ya",1,IF(AK53="Tidak",0,"Blm Diisi")),IF(AJ53="A/B/C",IF(AK53="A",1,IF(AK53="B",0.5,IF(AK53="C",0,"Blm Diisi"))),IF(AJ53="A/B/C/D",IF(AK53="A",1,IF(AK53="B",0.67,IF(AK53="C",0.33,IF(AK53="D",0,"Blm Diisi")))),IF(AJ53="A/B/C/D/E",IF(AK53="A",1,IF(AK53="B",0.75,IF(AK53="C",0.5,IF(AK53="D",0.25,IF(AK53="E",0,"Blm Diisi"))))),IF(AJ53="%",IF(AK53="","Blm Diisi",AK53),IF(AJ53="Jumlah",IF(AK53="","Blm Diisi",""),IF(AJ53="Rupiah",IF(AK53="","Blm Diisi",""),IF(AJ53="","","-"))))))))</f>
        <v>0</v>
      </c>
      <c r="AM53" s="28"/>
      <c r="AN53" s="36"/>
    </row>
    <row r="54" spans="1:40">
      <c r="A54" t="s">
        <v>20</v>
      </c>
      <c r="B54" s="23"/>
      <c r="C54" s="23"/>
      <c r="D54" s="23"/>
      <c r="E54" s="23"/>
      <c r="F54" s="23" t="s">
        <v>52</v>
      </c>
      <c r="G54" s="23" t="s">
        <v>257</v>
      </c>
      <c r="H54" s="28"/>
      <c r="I54" s="23" t="s">
        <v>258</v>
      </c>
      <c r="J54" s="28" t="s">
        <v>116</v>
      </c>
      <c r="K54" s="29" t="s">
        <v>34</v>
      </c>
      <c r="L54" s="28" t="str">
        <f>IF(J54="Ya/Tidak",IF(K54="Ya",1,IF(K54="Tidak",0,"Blm Diisi")),IF(J54="A/B/C",IF(K54="A",1,IF(K54="B",0.5,IF(K54="C",0,"Blm Diisi"))),IF(J54="A/B/C/D",IF(K54="A",1,IF(K54="B",0.67,IF(K54="C",0.33,IF(K54="D",0,"Blm Diisi")))),IF(J54="A/B/C/D/E",IF(K54="A",1,IF(K54="B",0.75,IF(K54="C",0.5,IF(K54="D",0.25,IF(K54="E",0,"Blm Diisi"))))),IF(J54="%",IF(K54="","Blm Diisi",K54),IF(J54="Jumlah",IF(K54="","Blm Diisi",""),IF(J54="Rupiah",IF(K54="","Blm Diisi",""),IF(J54="","","-"))))))))</f>
        <v>0</v>
      </c>
      <c r="M54" s="28"/>
      <c r="O54" s="30" t="s">
        <v>259</v>
      </c>
      <c r="P54" s="30" t="s">
        <v>260</v>
      </c>
      <c r="Q54" s="35" t="s">
        <v>261</v>
      </c>
      <c r="R54"/>
      <c r="S54" s="36"/>
      <c r="T54" s="28" t="s">
        <v>116</v>
      </c>
      <c r="U54" s="28" t="s">
        <v>34</v>
      </c>
      <c r="V54" s="28" t="str">
        <f>IF(T54="Ya/Tidak",IF(U54="Ya",1,IF(U54="Tidak",0,"Blm Diisi")),IF(T54="A/B/C",IF(U54="A",1,IF(U54="B",0.5,IF(U54="C",0,"Blm Diisi"))),IF(T54="A/B/C/D",IF(U54="A",1,IF(U54="B",0.67,IF(U54="C",0.33,IF(U54="D",0,"Blm Diisi")))),IF(T54="A/B/C/D/E",IF(U54="A",1,IF(U54="B",0.75,IF(U54="C",0.5,IF(U54="D",0.25,IF(U54="E",0,"Blm Diisi"))))),IF(T54="%",IF(U54="","Blm Diisi",U54),IF(T54="Jumlah",IF(U54="","Blm Diisi",""),IF(T54="Rupiah",IF(U54="","Blm Diisi",""),IF(T54="","","-"))))))))</f>
        <v>0</v>
      </c>
      <c r="W54" s="28"/>
      <c r="X54" s="36" t="s">
        <v>262</v>
      </c>
      <c r="Y54"/>
      <c r="Z54"/>
      <c r="AA54" s="36"/>
      <c r="AB54" s="28" t="s">
        <v>116</v>
      </c>
      <c r="AC54" s="28"/>
      <c r="AD54" s="28" t="str">
        <f>IF(AB54="Ya/Tidak",IF(AC54="Ya",1,IF(AC54="Tidak",0,"Blm Diisi")),IF(AB54="A/B/C",IF(AC54="A",1,IF(AC54="B",0.5,IF(AC54="C",0,"Blm Diisi"))),IF(AB54="A/B/C/D",IF(AC54="A",1,IF(AC54="B",0.67,IF(AC54="C",0.33,IF(AC54="D",0,"Blm Diisi")))),IF(AB54="A/B/C/D/E",IF(AC54="A",1,IF(AC54="B",0.75,IF(AC54="C",0.5,IF(AC54="D",0.25,IF(AC54="E",0,"Blm Diisi"))))),IF(AB54="%",IF(AC54="","Blm Diisi",AC54),IF(AB54="Jumlah",IF(AC54="","Blm Diisi",""),IF(AB54="Rupiah",IF(AC54="","Blm Diisi",""),IF(AB54="","","-"))))))))</f>
        <v>0</v>
      </c>
      <c r="AE54" s="28"/>
      <c r="AF54" s="36"/>
      <c r="AG54"/>
      <c r="AH54"/>
      <c r="AI54" s="36"/>
      <c r="AJ54" s="28" t="s">
        <v>116</v>
      </c>
      <c r="AK54" s="28"/>
      <c r="AL54" s="28" t="str">
        <f>IF(AJ54="Ya/Tidak",IF(AK54="Ya",1,IF(AK54="Tidak",0,"Blm Diisi")),IF(AJ54="A/B/C",IF(AK54="A",1,IF(AK54="B",0.5,IF(AK54="C",0,"Blm Diisi"))),IF(AJ54="A/B/C/D",IF(AK54="A",1,IF(AK54="B",0.67,IF(AK54="C",0.33,IF(AK54="D",0,"Blm Diisi")))),IF(AJ54="A/B/C/D/E",IF(AK54="A",1,IF(AK54="B",0.75,IF(AK54="C",0.5,IF(AK54="D",0.25,IF(AK54="E",0,"Blm Diisi"))))),IF(AJ54="%",IF(AK54="","Blm Diisi",AK54),IF(AJ54="Jumlah",IF(AK54="","Blm Diisi",""),IF(AJ54="Rupiah",IF(AK54="","Blm Diisi",""),IF(AJ54="","","-"))))))))</f>
        <v>0</v>
      </c>
      <c r="AM54" s="28"/>
      <c r="AN54" s="36"/>
    </row>
    <row r="55" spans="1:40">
      <c r="A55" t="s">
        <v>20</v>
      </c>
      <c r="B55" s="23"/>
      <c r="C55" s="23"/>
      <c r="D55" s="23"/>
      <c r="E55" s="23"/>
      <c r="F55" s="23" t="s">
        <v>99</v>
      </c>
      <c r="G55" s="23" t="s">
        <v>263</v>
      </c>
      <c r="H55" s="28"/>
      <c r="I55" s="23" t="s">
        <v>264</v>
      </c>
      <c r="J55" s="28" t="s">
        <v>24</v>
      </c>
      <c r="K55" s="29" t="s">
        <v>25</v>
      </c>
      <c r="L55" s="28" t="str">
        <f>IF(J55="Ya/Tidak",IF(K55="Ya",1,IF(K55="Tidak",0,"Blm Diisi")),IF(J55="A/B/C",IF(K55="A",1,IF(K55="B",0.5,IF(K55="C",0,"Blm Diisi"))),IF(J55="A/B/C/D",IF(K55="A",1,IF(K55="B",0.67,IF(K55="C",0.33,IF(K55="D",0,"Blm Diisi")))),IF(J55="A/B/C/D/E",IF(K55="A",1,IF(K55="B",0.75,IF(K55="C",0.5,IF(K55="D",0.25,IF(K55="E",0,"Blm Diisi"))))),IF(J55="%",IF(K55="","Blm Diisi",K55),IF(J55="Jumlah",IF(K55="","Blm Diisi",""),IF(J55="Rupiah",IF(K55="","Blm Diisi",""),IF(J55="","","-"))))))))</f>
        <v>0</v>
      </c>
      <c r="M55" s="28"/>
      <c r="O55" s="30" t="s">
        <v>265</v>
      </c>
      <c r="P55" s="30" t="s">
        <v>266</v>
      </c>
      <c r="Q55" s="35" t="s">
        <v>267</v>
      </c>
      <c r="R55"/>
      <c r="S55" s="36"/>
      <c r="T55" s="28" t="s">
        <v>24</v>
      </c>
      <c r="U55" s="28" t="s">
        <v>25</v>
      </c>
      <c r="V55" s="28" t="str">
        <f>IF(T55="Ya/Tidak",IF(U55="Ya",1,IF(U55="Tidak",0,"Blm Diisi")),IF(T55="A/B/C",IF(U55="A",1,IF(U55="B",0.5,IF(U55="C",0,"Blm Diisi"))),IF(T55="A/B/C/D",IF(U55="A",1,IF(U55="B",0.67,IF(U55="C",0.33,IF(U55="D",0,"Blm Diisi")))),IF(T55="A/B/C/D/E",IF(U55="A",1,IF(U55="B",0.75,IF(U55="C",0.5,IF(U55="D",0.25,IF(U55="E",0,"Blm Diisi"))))),IF(T55="%",IF(U55="","Blm Diisi",U55),IF(T55="Jumlah",IF(U55="","Blm Diisi",""),IF(T55="Rupiah",IF(U55="","Blm Diisi",""),IF(T55="","","-"))))))))</f>
        <v>0</v>
      </c>
      <c r="W55" s="28"/>
      <c r="X55" s="36" t="s">
        <v>268</v>
      </c>
      <c r="Y55"/>
      <c r="Z55"/>
      <c r="AA55" s="36"/>
      <c r="AB55" s="28" t="s">
        <v>24</v>
      </c>
      <c r="AC55" s="28"/>
      <c r="AD55" s="28" t="str">
        <f>IF(AB55="Ya/Tidak",IF(AC55="Ya",1,IF(AC55="Tidak",0,"Blm Diisi")),IF(AB55="A/B/C",IF(AC55="A",1,IF(AC55="B",0.5,IF(AC55="C",0,"Blm Diisi"))),IF(AB55="A/B/C/D",IF(AC55="A",1,IF(AC55="B",0.67,IF(AC55="C",0.33,IF(AC55="D",0,"Blm Diisi")))),IF(AB55="A/B/C/D/E",IF(AC55="A",1,IF(AC55="B",0.75,IF(AC55="C",0.5,IF(AC55="D",0.25,IF(AC55="E",0,"Blm Diisi"))))),IF(AB55="%",IF(AC55="","Blm Diisi",AC55),IF(AB55="Jumlah",IF(AC55="","Blm Diisi",""),IF(AB55="Rupiah",IF(AC55="","Blm Diisi",""),IF(AB55="","","-"))))))))</f>
        <v>0</v>
      </c>
      <c r="AE55" s="28"/>
      <c r="AF55" s="36"/>
      <c r="AG55"/>
      <c r="AH55"/>
      <c r="AI55" s="36"/>
      <c r="AJ55" s="28" t="s">
        <v>24</v>
      </c>
      <c r="AK55" s="28"/>
      <c r="AL55" s="28" t="str">
        <f>IF(AJ55="Ya/Tidak",IF(AK55="Ya",1,IF(AK55="Tidak",0,"Blm Diisi")),IF(AJ55="A/B/C",IF(AK55="A",1,IF(AK55="B",0.5,IF(AK55="C",0,"Blm Diisi"))),IF(AJ55="A/B/C/D",IF(AK55="A",1,IF(AK55="B",0.67,IF(AK55="C",0.33,IF(AK55="D",0,"Blm Diisi")))),IF(AJ55="A/B/C/D/E",IF(AK55="A",1,IF(AK55="B",0.75,IF(AK55="C",0.5,IF(AK55="D",0.25,IF(AK55="E",0,"Blm Diisi"))))),IF(AJ55="%",IF(AK55="","Blm Diisi",AK55),IF(AJ55="Jumlah",IF(AK55="","Blm Diisi",""),IF(AJ55="Rupiah",IF(AK55="","Blm Diisi",""),IF(AJ55="","","-"))))))))</f>
        <v>0</v>
      </c>
      <c r="AM55" s="28"/>
      <c r="AN55" s="36"/>
    </row>
    <row r="56" spans="1:40">
      <c r="B56" s="22"/>
      <c r="C56" s="22"/>
      <c r="D56" s="22"/>
      <c r="E56" s="22" t="s">
        <v>269</v>
      </c>
      <c r="F56" s="22" t="s">
        <v>270</v>
      </c>
      <c r="G56" s="22"/>
      <c r="H56" s="27">
        <v>0.75</v>
      </c>
      <c r="I56" s="22"/>
      <c r="J56" s="27"/>
      <c r="K56" s="27"/>
      <c r="L56" s="27" t="str">
        <f>AVERAGE(L57)*H56</f>
        <v>0</v>
      </c>
      <c r="M56" s="27" t="str">
        <f>L56/H56</f>
        <v>0</v>
      </c>
      <c r="N56" s="1"/>
      <c r="O56" s="22"/>
      <c r="P56" s="22"/>
      <c r="Q56" s="34"/>
      <c r="R56"/>
      <c r="S56" s="36">
        <v>0.75</v>
      </c>
      <c r="T56" s="28"/>
      <c r="U56" s="28"/>
      <c r="V56" s="28" t="str">
        <f>AVERAGE(V57)*S56</f>
        <v>0</v>
      </c>
      <c r="W56" s="28" t="str">
        <f>V56/S56</f>
        <v>0</v>
      </c>
      <c r="X56" s="36"/>
      <c r="Y56"/>
      <c r="Z56"/>
      <c r="AA56" s="36">
        <v>0.75</v>
      </c>
      <c r="AB56" s="28"/>
      <c r="AC56" s="28"/>
      <c r="AD56" s="28" t="str">
        <f>AVERAGE(AD57)*AA56</f>
        <v>0</v>
      </c>
      <c r="AE56" s="28" t="str">
        <f>AD56/AA56</f>
        <v>0</v>
      </c>
      <c r="AF56" s="36"/>
      <c r="AG56"/>
      <c r="AH56"/>
      <c r="AI56" s="36">
        <v>0.75</v>
      </c>
      <c r="AJ56" s="28"/>
      <c r="AK56" s="28"/>
      <c r="AL56" s="28" t="str">
        <f>AVERAGE(AL57)*AI56</f>
        <v>0</v>
      </c>
      <c r="AM56" s="28" t="str">
        <f>AL56/AI56</f>
        <v>0</v>
      </c>
      <c r="AN56" s="36"/>
    </row>
    <row r="57" spans="1:40">
      <c r="A57" t="s">
        <v>20</v>
      </c>
      <c r="B57" s="23"/>
      <c r="C57" s="23"/>
      <c r="D57" s="23"/>
      <c r="E57" s="23"/>
      <c r="F57" s="23" t="s">
        <v>21</v>
      </c>
      <c r="G57" s="23" t="s">
        <v>271</v>
      </c>
      <c r="H57" s="28"/>
      <c r="I57" s="23" t="s">
        <v>272</v>
      </c>
      <c r="J57" s="28" t="s">
        <v>63</v>
      </c>
      <c r="K57" s="29" t="s">
        <v>34</v>
      </c>
      <c r="L57" s="28" t="str">
        <f>IF(J57="Ya/Tidak",IF(K57="Ya",1,IF(K57="Tidak",0,"Blm Diisi")),IF(J57="A/B/C",IF(K57="A",1,IF(K57="B",0.5,IF(K57="C",0,"Blm Diisi"))),IF(J57="A/B/C/D",IF(K57="A",1,IF(K57="B",0.67,IF(K57="C",0.33,IF(K57="D",0,"Blm Diisi")))),IF(J57="A/B/C/D/E",IF(K57="A",1,IF(K57="B",0.75,IF(K57="C",0.5,IF(K57="D",0.25,IF(K57="E",0,"Blm Diisi"))))),IF(J57="%",IF(K57="","Blm Diisi",K57),IF(J57="Jumlah",IF(K57="","Blm Diisi",""),IF(J57="Rupiah",IF(K57="","Blm Diisi",""),IF(J57="","","-"))))))))</f>
        <v>0</v>
      </c>
      <c r="M57" s="28"/>
      <c r="O57" s="30" t="s">
        <v>273</v>
      </c>
      <c r="P57" s="30" t="s">
        <v>274</v>
      </c>
      <c r="Q57" s="35" t="s">
        <v>275</v>
      </c>
      <c r="R57"/>
      <c r="S57" s="36"/>
      <c r="T57" s="28" t="s">
        <v>63</v>
      </c>
      <c r="U57" s="28" t="s">
        <v>34</v>
      </c>
      <c r="V57" s="28" t="str">
        <f>IF(T57="Ya/Tidak",IF(U57="Ya",1,IF(U57="Tidak",0,"Blm Diisi")),IF(T57="A/B/C",IF(U57="A",1,IF(U57="B",0.5,IF(U57="C",0,"Blm Diisi"))),IF(T57="A/B/C/D",IF(U57="A",1,IF(U57="B",0.67,IF(U57="C",0.33,IF(U57="D",0,"Blm Diisi")))),IF(T57="A/B/C/D/E",IF(U57="A",1,IF(U57="B",0.75,IF(U57="C",0.5,IF(U57="D",0.25,IF(U57="E",0,"Blm Diisi"))))),IF(T57="%",IF(U57="","Blm Diisi",U57),IF(T57="Jumlah",IF(U57="","Blm Diisi",""),IF(T57="Rupiah",IF(U57="","Blm Diisi",""),IF(T57="","","-"))))))))</f>
        <v>0</v>
      </c>
      <c r="W57" s="28"/>
      <c r="X57" s="36" t="s">
        <v>276</v>
      </c>
      <c r="Y57"/>
      <c r="Z57"/>
      <c r="AA57" s="36"/>
      <c r="AB57" s="28" t="s">
        <v>63</v>
      </c>
      <c r="AC57" s="28"/>
      <c r="AD57" s="28" t="str">
        <f>IF(AB57="Ya/Tidak",IF(AC57="Ya",1,IF(AC57="Tidak",0,"Blm Diisi")),IF(AB57="A/B/C",IF(AC57="A",1,IF(AC57="B",0.5,IF(AC57="C",0,"Blm Diisi"))),IF(AB57="A/B/C/D",IF(AC57="A",1,IF(AC57="B",0.67,IF(AC57="C",0.33,IF(AC57="D",0,"Blm Diisi")))),IF(AB57="A/B/C/D/E",IF(AC57="A",1,IF(AC57="B",0.75,IF(AC57="C",0.5,IF(AC57="D",0.25,IF(AC57="E",0,"Blm Diisi"))))),IF(AB57="%",IF(AC57="","Blm Diisi",AC57),IF(AB57="Jumlah",IF(AC57="","Blm Diisi",""),IF(AB57="Rupiah",IF(AC57="","Blm Diisi",""),IF(AB57="","","-"))))))))</f>
        <v>0</v>
      </c>
      <c r="AE57" s="28"/>
      <c r="AF57" s="36"/>
      <c r="AG57"/>
      <c r="AH57"/>
      <c r="AI57" s="36"/>
      <c r="AJ57" s="28" t="s">
        <v>63</v>
      </c>
      <c r="AK57" s="28"/>
      <c r="AL57" s="28" t="str">
        <f>IF(AJ57="Ya/Tidak",IF(AK57="Ya",1,IF(AK57="Tidak",0,"Blm Diisi")),IF(AJ57="A/B/C",IF(AK57="A",1,IF(AK57="B",0.5,IF(AK57="C",0,"Blm Diisi"))),IF(AJ57="A/B/C/D",IF(AK57="A",1,IF(AK57="B",0.67,IF(AK57="C",0.33,IF(AK57="D",0,"Blm Diisi")))),IF(AJ57="A/B/C/D/E",IF(AK57="A",1,IF(AK57="B",0.75,IF(AK57="C",0.5,IF(AK57="D",0.25,IF(AK57="E",0,"Blm Diisi"))))),IF(AJ57="%",IF(AK57="","Blm Diisi",AK57),IF(AJ57="Jumlah",IF(AK57="","Blm Diisi",""),IF(AJ57="Rupiah",IF(AK57="","Blm Diisi",""),IF(AJ57="","","-"))))))))</f>
        <v>0</v>
      </c>
      <c r="AM57" s="28"/>
      <c r="AN57" s="36"/>
    </row>
    <row r="58" spans="1:40">
      <c r="B58" s="22"/>
      <c r="C58" s="22"/>
      <c r="D58" s="22"/>
      <c r="E58" s="22" t="s">
        <v>277</v>
      </c>
      <c r="F58" s="22" t="s">
        <v>278</v>
      </c>
      <c r="G58" s="22"/>
      <c r="H58" s="27">
        <v>0.25</v>
      </c>
      <c r="I58" s="22"/>
      <c r="J58" s="27"/>
      <c r="K58" s="27"/>
      <c r="L58" s="27" t="str">
        <f>AVERAGE(L59)*H58</f>
        <v>0</v>
      </c>
      <c r="M58" s="27" t="str">
        <f>L58/H58</f>
        <v>0</v>
      </c>
      <c r="N58" s="1"/>
      <c r="O58" s="22"/>
      <c r="P58" s="22"/>
      <c r="Q58" s="34"/>
      <c r="R58"/>
      <c r="S58" s="36">
        <v>0.25</v>
      </c>
      <c r="T58" s="28"/>
      <c r="U58" s="28"/>
      <c r="V58" s="28" t="str">
        <f>AVERAGE(V59)*S58</f>
        <v>0</v>
      </c>
      <c r="W58" s="28" t="str">
        <f>V58/S58</f>
        <v>0</v>
      </c>
      <c r="X58" s="36"/>
      <c r="Y58"/>
      <c r="Z58"/>
      <c r="AA58" s="36">
        <v>0.25</v>
      </c>
      <c r="AB58" s="28"/>
      <c r="AC58" s="28"/>
      <c r="AD58" s="28" t="str">
        <f>AVERAGE(AD59)*AA58</f>
        <v>0</v>
      </c>
      <c r="AE58" s="28" t="str">
        <f>AD58/AA58</f>
        <v>0</v>
      </c>
      <c r="AF58" s="36"/>
      <c r="AG58"/>
      <c r="AH58"/>
      <c r="AI58" s="36">
        <v>0.25</v>
      </c>
      <c r="AJ58" s="28"/>
      <c r="AK58" s="28"/>
      <c r="AL58" s="28" t="str">
        <f>AVERAGE(AL59)*AI58</f>
        <v>0</v>
      </c>
      <c r="AM58" s="28" t="str">
        <f>AL58/AI58</f>
        <v>0</v>
      </c>
      <c r="AN58" s="36"/>
    </row>
    <row r="59" spans="1:40">
      <c r="A59" t="s">
        <v>20</v>
      </c>
      <c r="B59" s="23"/>
      <c r="C59" s="23"/>
      <c r="D59" s="23"/>
      <c r="E59" s="23"/>
      <c r="F59" s="23" t="s">
        <v>21</v>
      </c>
      <c r="G59" s="23" t="s">
        <v>279</v>
      </c>
      <c r="H59" s="28"/>
      <c r="I59" s="23" t="s">
        <v>280</v>
      </c>
      <c r="J59" s="28" t="s">
        <v>33</v>
      </c>
      <c r="K59" s="29" t="s">
        <v>34</v>
      </c>
      <c r="L59" s="28" t="str">
        <f>IF(J59="Ya/Tidak",IF(K59="Ya",1,IF(K59="Tidak",0,"Blm Diisi")),IF(J59="A/B/C",IF(K59="A",1,IF(K59="B",0.5,IF(K59="C",0,"Blm Diisi"))),IF(J59="A/B/C/D",IF(K59="A",1,IF(K59="B",0.67,IF(K59="C",0.33,IF(K59="D",0,"Blm Diisi")))),IF(J59="A/B/C/D/E",IF(K59="A",1,IF(K59="B",0.75,IF(K59="C",0.5,IF(K59="D",0.25,IF(K59="E",0,"Blm Diisi"))))),IF(J59="%",IF(K59="","Blm Diisi",K59),IF(J59="Jumlah",IF(K59="","Blm Diisi",""),IF(J59="Rupiah",IF(K59="","Blm Diisi",""),IF(J59="","","-"))))))))</f>
        <v>0</v>
      </c>
      <c r="M59" s="28"/>
      <c r="O59" s="30" t="s">
        <v>281</v>
      </c>
      <c r="P59" s="30" t="s">
        <v>282</v>
      </c>
      <c r="Q59" s="35" t="s">
        <v>283</v>
      </c>
      <c r="R59"/>
      <c r="S59" s="36"/>
      <c r="T59" s="28" t="s">
        <v>33</v>
      </c>
      <c r="U59" s="28" t="s">
        <v>34</v>
      </c>
      <c r="V59" s="28" t="str">
        <f>IF(T59="Ya/Tidak",IF(U59="Ya",1,IF(U59="Tidak",0,"Blm Diisi")),IF(T59="A/B/C",IF(U59="A",1,IF(U59="B",0.5,IF(U59="C",0,"Blm Diisi"))),IF(T59="A/B/C/D",IF(U59="A",1,IF(U59="B",0.67,IF(U59="C",0.33,IF(U59="D",0,"Blm Diisi")))),IF(T59="A/B/C/D/E",IF(U59="A",1,IF(U59="B",0.75,IF(U59="C",0.5,IF(U59="D",0.25,IF(U59="E",0,"Blm Diisi"))))),IF(T59="%",IF(U59="","Blm Diisi",U59),IF(T59="Jumlah",IF(U59="","Blm Diisi",""),IF(T59="Rupiah",IF(U59="","Blm Diisi",""),IF(T59="","","-"))))))))</f>
        <v>0</v>
      </c>
      <c r="W59" s="28"/>
      <c r="X59" s="36" t="s">
        <v>284</v>
      </c>
      <c r="Y59"/>
      <c r="Z59"/>
      <c r="AA59" s="36"/>
      <c r="AB59" s="28" t="s">
        <v>33</v>
      </c>
      <c r="AC59" s="28"/>
      <c r="AD59" s="28" t="str">
        <f>IF(AB59="Ya/Tidak",IF(AC59="Ya",1,IF(AC59="Tidak",0,"Blm Diisi")),IF(AB59="A/B/C",IF(AC59="A",1,IF(AC59="B",0.5,IF(AC59="C",0,"Blm Diisi"))),IF(AB59="A/B/C/D",IF(AC59="A",1,IF(AC59="B",0.67,IF(AC59="C",0.33,IF(AC59="D",0,"Blm Diisi")))),IF(AB59="A/B/C/D/E",IF(AC59="A",1,IF(AC59="B",0.75,IF(AC59="C",0.5,IF(AC59="D",0.25,IF(AC59="E",0,"Blm Diisi"))))),IF(AB59="%",IF(AC59="","Blm Diisi",AC59),IF(AB59="Jumlah",IF(AC59="","Blm Diisi",""),IF(AB59="Rupiah",IF(AC59="","Blm Diisi",""),IF(AB59="","","-"))))))))</f>
        <v>0</v>
      </c>
      <c r="AE59" s="28"/>
      <c r="AF59" s="36"/>
      <c r="AG59"/>
      <c r="AH59"/>
      <c r="AI59" s="36"/>
      <c r="AJ59" s="28" t="s">
        <v>33</v>
      </c>
      <c r="AK59" s="28"/>
      <c r="AL59" s="28" t="str">
        <f>IF(AJ59="Ya/Tidak",IF(AK59="Ya",1,IF(AK59="Tidak",0,"Blm Diisi")),IF(AJ59="A/B/C",IF(AK59="A",1,IF(AK59="B",0.5,IF(AK59="C",0,"Blm Diisi"))),IF(AJ59="A/B/C/D",IF(AK59="A",1,IF(AK59="B",0.67,IF(AK59="C",0.33,IF(AK59="D",0,"Blm Diisi")))),IF(AJ59="A/B/C/D/E",IF(AK59="A",1,IF(AK59="B",0.75,IF(AK59="C",0.5,IF(AK59="D",0.25,IF(AK59="E",0,"Blm Diisi"))))),IF(AJ59="%",IF(AK59="","Blm Diisi",AK59),IF(AJ59="Jumlah",IF(AK59="","Blm Diisi",""),IF(AJ59="Rupiah",IF(AK59="","Blm Diisi",""),IF(AJ59="","","-"))))))))</f>
        <v>0</v>
      </c>
      <c r="AM59" s="28"/>
      <c r="AN59" s="36"/>
    </row>
    <row r="60" spans="1:40">
      <c r="B60" s="21"/>
      <c r="C60" s="21"/>
      <c r="D60" s="21">
        <v>4.0</v>
      </c>
      <c r="E60" s="21" t="s">
        <v>285</v>
      </c>
      <c r="F60" s="21"/>
      <c r="G60" s="21"/>
      <c r="H60" s="26">
        <v>5</v>
      </c>
      <c r="I60" s="21"/>
      <c r="J60" s="26"/>
      <c r="K60" s="26"/>
      <c r="L60" s="26" t="str">
        <f>SUM(L61,L65)</f>
        <v>0</v>
      </c>
      <c r="M60" s="26" t="str">
        <f>L60/H60</f>
        <v>0</v>
      </c>
      <c r="N60" s="1"/>
      <c r="O60" s="21"/>
      <c r="P60" s="21"/>
      <c r="Q60" s="33"/>
      <c r="R60"/>
      <c r="S60" s="36">
        <v>5</v>
      </c>
      <c r="T60" s="28"/>
      <c r="U60" s="28"/>
      <c r="V60" s="28" t="str">
        <f>SUM(V61,V65)</f>
        <v>0</v>
      </c>
      <c r="W60" s="28" t="str">
        <f>V60/S60</f>
        <v>0</v>
      </c>
      <c r="X60" s="36"/>
      <c r="Y60"/>
      <c r="Z60"/>
      <c r="AA60" s="36">
        <v>5</v>
      </c>
      <c r="AB60" s="28"/>
      <c r="AC60" s="28"/>
      <c r="AD60" s="28" t="str">
        <f>SUM(AD61,AD65)</f>
        <v>0</v>
      </c>
      <c r="AE60" s="28" t="str">
        <f>AD60/AA60</f>
        <v>0</v>
      </c>
      <c r="AF60" s="36"/>
      <c r="AG60"/>
      <c r="AH60"/>
      <c r="AI60" s="36">
        <v>5</v>
      </c>
      <c r="AJ60" s="28"/>
      <c r="AK60" s="28"/>
      <c r="AL60" s="28" t="str">
        <f>SUM(AL61,AL65)</f>
        <v>0</v>
      </c>
      <c r="AM60" s="28" t="str">
        <f>AL60/AI60</f>
        <v>0</v>
      </c>
      <c r="AN60" s="36"/>
    </row>
    <row r="61" spans="1:40">
      <c r="B61" s="22"/>
      <c r="C61" s="22"/>
      <c r="D61" s="22"/>
      <c r="E61" s="22" t="s">
        <v>18</v>
      </c>
      <c r="F61" s="22" t="s">
        <v>286</v>
      </c>
      <c r="G61" s="22"/>
      <c r="H61" s="27">
        <v>2.5</v>
      </c>
      <c r="I61" s="22"/>
      <c r="J61" s="27"/>
      <c r="K61" s="27"/>
      <c r="L61" s="27" t="str">
        <f>AVERAGE(L62:L64)*H61</f>
        <v>0</v>
      </c>
      <c r="M61" s="27" t="str">
        <f>L61/H61</f>
        <v>0</v>
      </c>
      <c r="N61" s="1"/>
      <c r="O61" s="22"/>
      <c r="P61" s="22"/>
      <c r="Q61" s="34"/>
      <c r="R61"/>
      <c r="S61" s="36">
        <v>2.5</v>
      </c>
      <c r="T61" s="28"/>
      <c r="U61" s="28"/>
      <c r="V61" s="28" t="str">
        <f>AVERAGE(V62:V64)*S61</f>
        <v>0</v>
      </c>
      <c r="W61" s="28" t="str">
        <f>V61/S61</f>
        <v>0</v>
      </c>
      <c r="X61" s="36"/>
      <c r="Y61"/>
      <c r="Z61"/>
      <c r="AA61" s="36">
        <v>2.5</v>
      </c>
      <c r="AB61" s="28"/>
      <c r="AC61" s="28"/>
      <c r="AD61" s="28" t="str">
        <f>AVERAGE(AD62:AD64)*AA61</f>
        <v>0</v>
      </c>
      <c r="AE61" s="28" t="str">
        <f>AD61/AA61</f>
        <v>0</v>
      </c>
      <c r="AF61" s="36"/>
      <c r="AG61"/>
      <c r="AH61"/>
      <c r="AI61" s="36">
        <v>2.5</v>
      </c>
      <c r="AJ61" s="28"/>
      <c r="AK61" s="28"/>
      <c r="AL61" s="28" t="str">
        <f>AVERAGE(AL62:AL64)*AI61</f>
        <v>0</v>
      </c>
      <c r="AM61" s="28" t="str">
        <f>AL61/AI61</f>
        <v>0</v>
      </c>
      <c r="AN61" s="36"/>
    </row>
    <row r="62" spans="1:40">
      <c r="A62" t="s">
        <v>20</v>
      </c>
      <c r="B62" s="23"/>
      <c r="C62" s="23"/>
      <c r="D62" s="23"/>
      <c r="E62" s="23"/>
      <c r="F62" s="23" t="s">
        <v>21</v>
      </c>
      <c r="G62" s="23" t="s">
        <v>287</v>
      </c>
      <c r="H62" s="28"/>
      <c r="I62" s="23" t="s">
        <v>288</v>
      </c>
      <c r="J62" s="28" t="s">
        <v>33</v>
      </c>
      <c r="K62" s="29" t="s">
        <v>34</v>
      </c>
      <c r="L62" s="28" t="str">
        <f>IF(J62="Ya/Tidak",IF(K62="Ya",1,IF(K62="Tidak",0,"Blm Diisi")),IF(J62="A/B/C",IF(K62="A",1,IF(K62="B",0.5,IF(K62="C",0,"Blm Diisi"))),IF(J62="A/B/C/D",IF(K62="A",1,IF(K62="B",0.67,IF(K62="C",0.33,IF(K62="D",0,"Blm Diisi")))),IF(J62="A/B/C/D/E",IF(K62="A",1,IF(K62="B",0.75,IF(K62="C",0.5,IF(K62="D",0.25,IF(K62="E",0,"Blm Diisi"))))),IF(J62="%",IF(K62="","Blm Diisi",K62),IF(J62="Jumlah",IF(K62="","Blm Diisi",""),IF(J62="Rupiah",IF(K62="","Blm Diisi",""),IF(J62="","","-"))))))))</f>
        <v>0</v>
      </c>
      <c r="M62" s="28"/>
      <c r="O62" s="30" t="s">
        <v>289</v>
      </c>
      <c r="P62" s="30" t="s">
        <v>290</v>
      </c>
      <c r="Q62" s="35" t="s">
        <v>291</v>
      </c>
      <c r="R62"/>
      <c r="S62" s="36"/>
      <c r="T62" s="28" t="s">
        <v>33</v>
      </c>
      <c r="U62" s="28" t="s">
        <v>34</v>
      </c>
      <c r="V62" s="28" t="str">
        <f>IF(T62="Ya/Tidak",IF(U62="Ya",1,IF(U62="Tidak",0,"Blm Diisi")),IF(T62="A/B/C",IF(U62="A",1,IF(U62="B",0.5,IF(U62="C",0,"Blm Diisi"))),IF(T62="A/B/C/D",IF(U62="A",1,IF(U62="B",0.67,IF(U62="C",0.33,IF(U62="D",0,"Blm Diisi")))),IF(T62="A/B/C/D/E",IF(U62="A",1,IF(U62="B",0.75,IF(U62="C",0.5,IF(U62="D",0.25,IF(U62="E",0,"Blm Diisi"))))),IF(T62="%",IF(U62="","Blm Diisi",U62),IF(T62="Jumlah",IF(U62="","Blm Diisi",""),IF(T62="Rupiah",IF(U62="","Blm Diisi",""),IF(T62="","","-"))))))))</f>
        <v>0</v>
      </c>
      <c r="W62" s="28"/>
      <c r="X62" s="36" t="s">
        <v>292</v>
      </c>
      <c r="Y62"/>
      <c r="Z62"/>
      <c r="AA62" s="36"/>
      <c r="AB62" s="28" t="s">
        <v>33</v>
      </c>
      <c r="AC62" s="28"/>
      <c r="AD62" s="28" t="str">
        <f>IF(AB62="Ya/Tidak",IF(AC62="Ya",1,IF(AC62="Tidak",0,"Blm Diisi")),IF(AB62="A/B/C",IF(AC62="A",1,IF(AC62="B",0.5,IF(AC62="C",0,"Blm Diisi"))),IF(AB62="A/B/C/D",IF(AC62="A",1,IF(AC62="B",0.67,IF(AC62="C",0.33,IF(AC62="D",0,"Blm Diisi")))),IF(AB62="A/B/C/D/E",IF(AC62="A",1,IF(AC62="B",0.75,IF(AC62="C",0.5,IF(AC62="D",0.25,IF(AC62="E",0,"Blm Diisi"))))),IF(AB62="%",IF(AC62="","Blm Diisi",AC62),IF(AB62="Jumlah",IF(AC62="","Blm Diisi",""),IF(AB62="Rupiah",IF(AC62="","Blm Diisi",""),IF(AB62="","","-"))))))))</f>
        <v>0</v>
      </c>
      <c r="AE62" s="28"/>
      <c r="AF62" s="36"/>
      <c r="AG62"/>
      <c r="AH62"/>
      <c r="AI62" s="36"/>
      <c r="AJ62" s="28" t="s">
        <v>33</v>
      </c>
      <c r="AK62" s="28"/>
      <c r="AL62" s="28" t="str">
        <f>IF(AJ62="Ya/Tidak",IF(AK62="Ya",1,IF(AK62="Tidak",0,"Blm Diisi")),IF(AJ62="A/B/C",IF(AK62="A",1,IF(AK62="B",0.5,IF(AK62="C",0,"Blm Diisi"))),IF(AJ62="A/B/C/D",IF(AK62="A",1,IF(AK62="B",0.67,IF(AK62="C",0.33,IF(AK62="D",0,"Blm Diisi")))),IF(AJ62="A/B/C/D/E",IF(AK62="A",1,IF(AK62="B",0.75,IF(AK62="C",0.5,IF(AK62="D",0.25,IF(AK62="E",0,"Blm Diisi"))))),IF(AJ62="%",IF(AK62="","Blm Diisi",AK62),IF(AJ62="Jumlah",IF(AK62="","Blm Diisi",""),IF(AJ62="Rupiah",IF(AK62="","Blm Diisi",""),IF(AJ62="","","-"))))))))</f>
        <v>0</v>
      </c>
      <c r="AM62" s="28"/>
      <c r="AN62" s="36"/>
    </row>
    <row r="63" spans="1:40">
      <c r="A63" t="s">
        <v>20</v>
      </c>
      <c r="B63" s="23"/>
      <c r="C63" s="23"/>
      <c r="D63" s="23"/>
      <c r="E63" s="23"/>
      <c r="F63" s="23" t="s">
        <v>30</v>
      </c>
      <c r="G63" s="23" t="s">
        <v>293</v>
      </c>
      <c r="H63" s="28"/>
      <c r="I63" s="23" t="s">
        <v>294</v>
      </c>
      <c r="J63" s="28" t="s">
        <v>33</v>
      </c>
      <c r="K63" s="29" t="s">
        <v>34</v>
      </c>
      <c r="L63" s="28" t="str">
        <f>IF(J63="Ya/Tidak",IF(K63="Ya",1,IF(K63="Tidak",0,"Blm Diisi")),IF(J63="A/B/C",IF(K63="A",1,IF(K63="B",0.5,IF(K63="C",0,"Blm Diisi"))),IF(J63="A/B/C/D",IF(K63="A",1,IF(K63="B",0.67,IF(K63="C",0.33,IF(K63="D",0,"Blm Diisi")))),IF(J63="A/B/C/D/E",IF(K63="A",1,IF(K63="B",0.75,IF(K63="C",0.5,IF(K63="D",0.25,IF(K63="E",0,"Blm Diisi"))))),IF(J63="%",IF(K63="","Blm Diisi",K63),IF(J63="Jumlah",IF(K63="","Blm Diisi",""),IF(J63="Rupiah",IF(K63="","Blm Diisi",""),IF(J63="","","-"))))))))</f>
        <v>0</v>
      </c>
      <c r="M63" s="28"/>
      <c r="O63" s="30" t="s">
        <v>295</v>
      </c>
      <c r="P63" s="30" t="s">
        <v>296</v>
      </c>
      <c r="Q63" s="35" t="s">
        <v>297</v>
      </c>
      <c r="R63"/>
      <c r="S63" s="36"/>
      <c r="T63" s="28" t="s">
        <v>33</v>
      </c>
      <c r="U63" s="28" t="s">
        <v>34</v>
      </c>
      <c r="V63" s="28" t="str">
        <f>IF(T63="Ya/Tidak",IF(U63="Ya",1,IF(U63="Tidak",0,"Blm Diisi")),IF(T63="A/B/C",IF(U63="A",1,IF(U63="B",0.5,IF(U63="C",0,"Blm Diisi"))),IF(T63="A/B/C/D",IF(U63="A",1,IF(U63="B",0.67,IF(U63="C",0.33,IF(U63="D",0,"Blm Diisi")))),IF(T63="A/B/C/D/E",IF(U63="A",1,IF(U63="B",0.75,IF(U63="C",0.5,IF(U63="D",0.25,IF(U63="E",0,"Blm Diisi"))))),IF(T63="%",IF(U63="","Blm Diisi",U63),IF(T63="Jumlah",IF(U63="","Blm Diisi",""),IF(T63="Rupiah",IF(U63="","Blm Diisi",""),IF(T63="","","-"))))))))</f>
        <v>0</v>
      </c>
      <c r="W63" s="28"/>
      <c r="X63" s="36" t="s">
        <v>298</v>
      </c>
      <c r="Y63"/>
      <c r="Z63"/>
      <c r="AA63" s="36"/>
      <c r="AB63" s="28" t="s">
        <v>33</v>
      </c>
      <c r="AC63" s="28"/>
      <c r="AD63" s="28" t="str">
        <f>IF(AB63="Ya/Tidak",IF(AC63="Ya",1,IF(AC63="Tidak",0,"Blm Diisi")),IF(AB63="A/B/C",IF(AC63="A",1,IF(AC63="B",0.5,IF(AC63="C",0,"Blm Diisi"))),IF(AB63="A/B/C/D",IF(AC63="A",1,IF(AC63="B",0.67,IF(AC63="C",0.33,IF(AC63="D",0,"Blm Diisi")))),IF(AB63="A/B/C/D/E",IF(AC63="A",1,IF(AC63="B",0.75,IF(AC63="C",0.5,IF(AC63="D",0.25,IF(AC63="E",0,"Blm Diisi"))))),IF(AB63="%",IF(AC63="","Blm Diisi",AC63),IF(AB63="Jumlah",IF(AC63="","Blm Diisi",""),IF(AB63="Rupiah",IF(AC63="","Blm Diisi",""),IF(AB63="","","-"))))))))</f>
        <v>0</v>
      </c>
      <c r="AE63" s="28"/>
      <c r="AF63" s="36"/>
      <c r="AG63"/>
      <c r="AH63"/>
      <c r="AI63" s="36"/>
      <c r="AJ63" s="28" t="s">
        <v>33</v>
      </c>
      <c r="AK63" s="28"/>
      <c r="AL63" s="28" t="str">
        <f>IF(AJ63="Ya/Tidak",IF(AK63="Ya",1,IF(AK63="Tidak",0,"Blm Diisi")),IF(AJ63="A/B/C",IF(AK63="A",1,IF(AK63="B",0.5,IF(AK63="C",0,"Blm Diisi"))),IF(AJ63="A/B/C/D",IF(AK63="A",1,IF(AK63="B",0.67,IF(AK63="C",0.33,IF(AK63="D",0,"Blm Diisi")))),IF(AJ63="A/B/C/D/E",IF(AK63="A",1,IF(AK63="B",0.75,IF(AK63="C",0.5,IF(AK63="D",0.25,IF(AK63="E",0,"Blm Diisi"))))),IF(AJ63="%",IF(AK63="","Blm Diisi",AK63),IF(AJ63="Jumlah",IF(AK63="","Blm Diisi",""),IF(AJ63="Rupiah",IF(AK63="","Blm Diisi",""),IF(AJ63="","","-"))))))))</f>
        <v>0</v>
      </c>
      <c r="AM63" s="28"/>
      <c r="AN63" s="36"/>
    </row>
    <row r="64" spans="1:40">
      <c r="A64" t="s">
        <v>20</v>
      </c>
      <c r="B64" s="23"/>
      <c r="C64" s="23"/>
      <c r="D64" s="23"/>
      <c r="E64" s="23"/>
      <c r="F64" s="23" t="s">
        <v>52</v>
      </c>
      <c r="G64" s="23" t="s">
        <v>299</v>
      </c>
      <c r="H64" s="28"/>
      <c r="I64" s="23" t="s">
        <v>300</v>
      </c>
      <c r="J64" s="28" t="s">
        <v>63</v>
      </c>
      <c r="K64" s="29" t="s">
        <v>34</v>
      </c>
      <c r="L64" s="28" t="str">
        <f>IF(J64="Ya/Tidak",IF(K64="Ya",1,IF(K64="Tidak",0,"Blm Diisi")),IF(J64="A/B/C",IF(K64="A",1,IF(K64="B",0.5,IF(K64="C",0,"Blm Diisi"))),IF(J64="A/B/C/D",IF(K64="A",1,IF(K64="B",0.67,IF(K64="C",0.33,IF(K64="D",0,"Blm Diisi")))),IF(J64="A/B/C/D/E",IF(K64="A",1,IF(K64="B",0.75,IF(K64="C",0.5,IF(K64="D",0.25,IF(K64="E",0,"Blm Diisi"))))),IF(J64="%",IF(K64="","Blm Diisi",K64),IF(J64="Jumlah",IF(K64="","Blm Diisi",""),IF(J64="Rupiah",IF(K64="","Blm Diisi",""),IF(J64="","","-"))))))))</f>
        <v>0</v>
      </c>
      <c r="M64" s="28"/>
      <c r="O64" s="30" t="s">
        <v>301</v>
      </c>
      <c r="P64" s="30" t="s">
        <v>302</v>
      </c>
      <c r="Q64" s="35" t="s">
        <v>303</v>
      </c>
      <c r="R64"/>
      <c r="S64" s="36"/>
      <c r="T64" s="28" t="s">
        <v>63</v>
      </c>
      <c r="U64" s="28" t="s">
        <v>34</v>
      </c>
      <c r="V64" s="28" t="str">
        <f>IF(T64="Ya/Tidak",IF(U64="Ya",1,IF(U64="Tidak",0,"Blm Diisi")),IF(T64="A/B/C",IF(U64="A",1,IF(U64="B",0.5,IF(U64="C",0,"Blm Diisi"))),IF(T64="A/B/C/D",IF(U64="A",1,IF(U64="B",0.67,IF(U64="C",0.33,IF(U64="D",0,"Blm Diisi")))),IF(T64="A/B/C/D/E",IF(U64="A",1,IF(U64="B",0.75,IF(U64="C",0.5,IF(U64="D",0.25,IF(U64="E",0,"Blm Diisi"))))),IF(T64="%",IF(U64="","Blm Diisi",U64),IF(T64="Jumlah",IF(U64="","Blm Diisi",""),IF(T64="Rupiah",IF(U64="","Blm Diisi",""),IF(T64="","","-"))))))))</f>
        <v>0</v>
      </c>
      <c r="W64" s="28"/>
      <c r="X64" s="36" t="s">
        <v>304</v>
      </c>
      <c r="Y64"/>
      <c r="Z64"/>
      <c r="AA64" s="36"/>
      <c r="AB64" s="28" t="s">
        <v>63</v>
      </c>
      <c r="AC64" s="28"/>
      <c r="AD64" s="28" t="str">
        <f>IF(AB64="Ya/Tidak",IF(AC64="Ya",1,IF(AC64="Tidak",0,"Blm Diisi")),IF(AB64="A/B/C",IF(AC64="A",1,IF(AC64="B",0.5,IF(AC64="C",0,"Blm Diisi"))),IF(AB64="A/B/C/D",IF(AC64="A",1,IF(AC64="B",0.67,IF(AC64="C",0.33,IF(AC64="D",0,"Blm Diisi")))),IF(AB64="A/B/C/D/E",IF(AC64="A",1,IF(AC64="B",0.75,IF(AC64="C",0.5,IF(AC64="D",0.25,IF(AC64="E",0,"Blm Diisi"))))),IF(AB64="%",IF(AC64="","Blm Diisi",AC64),IF(AB64="Jumlah",IF(AC64="","Blm Diisi",""),IF(AB64="Rupiah",IF(AC64="","Blm Diisi",""),IF(AB64="","","-"))))))))</f>
        <v>0</v>
      </c>
      <c r="AE64" s="28"/>
      <c r="AF64" s="36"/>
      <c r="AG64"/>
      <c r="AH64"/>
      <c r="AI64" s="36"/>
      <c r="AJ64" s="28" t="s">
        <v>63</v>
      </c>
      <c r="AK64" s="28"/>
      <c r="AL64" s="28" t="str">
        <f>IF(AJ64="Ya/Tidak",IF(AK64="Ya",1,IF(AK64="Tidak",0,"Blm Diisi")),IF(AJ64="A/B/C",IF(AK64="A",1,IF(AK64="B",0.5,IF(AK64="C",0,"Blm Diisi"))),IF(AJ64="A/B/C/D",IF(AK64="A",1,IF(AK64="B",0.67,IF(AK64="C",0.33,IF(AK64="D",0,"Blm Diisi")))),IF(AJ64="A/B/C/D/E",IF(AK64="A",1,IF(AK64="B",0.75,IF(AK64="C",0.5,IF(AK64="D",0.25,IF(AK64="E",0,"Blm Diisi"))))),IF(AJ64="%",IF(AK64="","Blm Diisi",AK64),IF(AJ64="Jumlah",IF(AK64="","Blm Diisi",""),IF(AJ64="Rupiah",IF(AK64="","Blm Diisi",""),IF(AJ64="","","-"))))))))</f>
        <v>0</v>
      </c>
      <c r="AM64" s="28"/>
      <c r="AN64" s="36"/>
    </row>
    <row r="65" spans="1:40">
      <c r="B65" s="22"/>
      <c r="C65" s="22"/>
      <c r="D65" s="22"/>
      <c r="E65" s="22" t="s">
        <v>40</v>
      </c>
      <c r="F65" s="22" t="s">
        <v>305</v>
      </c>
      <c r="G65" s="22"/>
      <c r="H65" s="27">
        <v>2.5</v>
      </c>
      <c r="I65" s="22"/>
      <c r="J65" s="27"/>
      <c r="K65" s="27"/>
      <c r="L65" s="27" t="str">
        <f>AVERAGE(L66:L73)*H65</f>
        <v>0</v>
      </c>
      <c r="M65" s="27" t="str">
        <f>L65/H65</f>
        <v>0</v>
      </c>
      <c r="N65" s="1"/>
      <c r="O65" s="22"/>
      <c r="P65" s="22"/>
      <c r="Q65" s="34"/>
      <c r="R65"/>
      <c r="S65" s="36">
        <v>2.5</v>
      </c>
      <c r="T65" s="28"/>
      <c r="U65" s="28"/>
      <c r="V65" s="28" t="str">
        <f>AVERAGE(V66:V73)*S65</f>
        <v>0</v>
      </c>
      <c r="W65" s="28" t="str">
        <f>V65/S65</f>
        <v>0</v>
      </c>
      <c r="X65" s="36"/>
      <c r="Y65"/>
      <c r="Z65"/>
      <c r="AA65" s="36">
        <v>2.5</v>
      </c>
      <c r="AB65" s="28"/>
      <c r="AC65" s="28"/>
      <c r="AD65" s="28" t="str">
        <f>AVERAGE(AD66:AD73)*AA65</f>
        <v>0</v>
      </c>
      <c r="AE65" s="28" t="str">
        <f>AD65/AA65</f>
        <v>0</v>
      </c>
      <c r="AF65" s="36"/>
      <c r="AG65"/>
      <c r="AH65"/>
      <c r="AI65" s="36">
        <v>2.5</v>
      </c>
      <c r="AJ65" s="28"/>
      <c r="AK65" s="28"/>
      <c r="AL65" s="28" t="str">
        <f>AVERAGE(AL66:AL73)*AI65</f>
        <v>0</v>
      </c>
      <c r="AM65" s="28" t="str">
        <f>AL65/AI65</f>
        <v>0</v>
      </c>
      <c r="AN65" s="36"/>
    </row>
    <row r="66" spans="1:40">
      <c r="A66" t="s">
        <v>20</v>
      </c>
      <c r="B66" s="23"/>
      <c r="C66" s="23"/>
      <c r="D66" s="23"/>
      <c r="E66" s="23"/>
      <c r="F66" s="23" t="s">
        <v>21</v>
      </c>
      <c r="G66" s="23" t="s">
        <v>306</v>
      </c>
      <c r="H66" s="28"/>
      <c r="I66" s="23" t="s">
        <v>307</v>
      </c>
      <c r="J66" s="28" t="s">
        <v>24</v>
      </c>
      <c r="K66" s="29" t="s">
        <v>25</v>
      </c>
      <c r="L66" s="28" t="str">
        <f>IF(J66="Ya/Tidak",IF(K66="Ya",1,IF(K66="Tidak",0,"Blm Diisi")),IF(J66="A/B/C",IF(K66="A",1,IF(K66="B",0.5,IF(K66="C",0,"Blm Diisi"))),IF(J66="A/B/C/D",IF(K66="A",1,IF(K66="B",0.67,IF(K66="C",0.33,IF(K66="D",0,"Blm Diisi")))),IF(J66="A/B/C/D/E",IF(K66="A",1,IF(K66="B",0.75,IF(K66="C",0.5,IF(K66="D",0.25,IF(K66="E",0,"Blm Diisi"))))),IF(J66="%",IF(K66="","Blm Diisi",K66),IF(J66="Jumlah",IF(K66="","Blm Diisi",""),IF(J66="Rupiah",IF(K66="","Blm Diisi",""),IF(J66="","","-"))))))))</f>
        <v>0</v>
      </c>
      <c r="M66" s="28"/>
      <c r="O66" s="30" t="s">
        <v>308</v>
      </c>
      <c r="P66" s="30" t="s">
        <v>309</v>
      </c>
      <c r="Q66" s="35" t="s">
        <v>310</v>
      </c>
      <c r="R66"/>
      <c r="S66" s="36"/>
      <c r="T66" s="28" t="s">
        <v>24</v>
      </c>
      <c r="U66" s="28" t="s">
        <v>25</v>
      </c>
      <c r="V66" s="28" t="str">
        <f>IF(T66="Ya/Tidak",IF(U66="Ya",1,IF(U66="Tidak",0,"Blm Diisi")),IF(T66="A/B/C",IF(U66="A",1,IF(U66="B",0.5,IF(U66="C",0,"Blm Diisi"))),IF(T66="A/B/C/D",IF(U66="A",1,IF(U66="B",0.67,IF(U66="C",0.33,IF(U66="D",0,"Blm Diisi")))),IF(T66="A/B/C/D/E",IF(U66="A",1,IF(U66="B",0.75,IF(U66="C",0.5,IF(U66="D",0.25,IF(U66="E",0,"Blm Diisi"))))),IF(T66="%",IF(U66="","Blm Diisi",U66),IF(T66="Jumlah",IF(U66="","Blm Diisi",""),IF(T66="Rupiah",IF(U66="","Blm Diisi",""),IF(T66="","","-"))))))))</f>
        <v>0</v>
      </c>
      <c r="W66" s="28"/>
      <c r="X66" s="36" t="s">
        <v>306</v>
      </c>
      <c r="Y66"/>
      <c r="Z66"/>
      <c r="AA66" s="36"/>
      <c r="AB66" s="28" t="s">
        <v>24</v>
      </c>
      <c r="AC66" s="28"/>
      <c r="AD66" s="28" t="str">
        <f>IF(AB66="Ya/Tidak",IF(AC66="Ya",1,IF(AC66="Tidak",0,"Blm Diisi")),IF(AB66="A/B/C",IF(AC66="A",1,IF(AC66="B",0.5,IF(AC66="C",0,"Blm Diisi"))),IF(AB66="A/B/C/D",IF(AC66="A",1,IF(AC66="B",0.67,IF(AC66="C",0.33,IF(AC66="D",0,"Blm Diisi")))),IF(AB66="A/B/C/D/E",IF(AC66="A",1,IF(AC66="B",0.75,IF(AC66="C",0.5,IF(AC66="D",0.25,IF(AC66="E",0,"Blm Diisi"))))),IF(AB66="%",IF(AC66="","Blm Diisi",AC66),IF(AB66="Jumlah",IF(AC66="","Blm Diisi",""),IF(AB66="Rupiah",IF(AC66="","Blm Diisi",""),IF(AB66="","","-"))))))))</f>
        <v>0</v>
      </c>
      <c r="AE66" s="28"/>
      <c r="AF66" s="36"/>
      <c r="AG66"/>
      <c r="AH66"/>
      <c r="AI66" s="36"/>
      <c r="AJ66" s="28" t="s">
        <v>24</v>
      </c>
      <c r="AK66" s="28"/>
      <c r="AL66" s="28" t="str">
        <f>IF(AJ66="Ya/Tidak",IF(AK66="Ya",1,IF(AK66="Tidak",0,"Blm Diisi")),IF(AJ66="A/B/C",IF(AK66="A",1,IF(AK66="B",0.5,IF(AK66="C",0,"Blm Diisi"))),IF(AJ66="A/B/C/D",IF(AK66="A",1,IF(AK66="B",0.67,IF(AK66="C",0.33,IF(AK66="D",0,"Blm Diisi")))),IF(AJ66="A/B/C/D/E",IF(AK66="A",1,IF(AK66="B",0.75,IF(AK66="C",0.5,IF(AK66="D",0.25,IF(AK66="E",0,"Blm Diisi"))))),IF(AJ66="%",IF(AK66="","Blm Diisi",AK66),IF(AJ66="Jumlah",IF(AK66="","Blm Diisi",""),IF(AJ66="Rupiah",IF(AK66="","Blm Diisi",""),IF(AJ66="","","-"))))))))</f>
        <v>0</v>
      </c>
      <c r="AM66" s="28"/>
      <c r="AN66" s="36"/>
    </row>
    <row r="67" spans="1:40">
      <c r="A67" t="s">
        <v>20</v>
      </c>
      <c r="B67" s="23"/>
      <c r="C67" s="23"/>
      <c r="D67" s="23"/>
      <c r="E67" s="23"/>
      <c r="F67" s="23" t="s">
        <v>30</v>
      </c>
      <c r="G67" s="23" t="s">
        <v>311</v>
      </c>
      <c r="H67" s="28"/>
      <c r="I67" s="23" t="s">
        <v>312</v>
      </c>
      <c r="J67" s="28" t="s">
        <v>24</v>
      </c>
      <c r="K67" s="29" t="s">
        <v>25</v>
      </c>
      <c r="L67" s="28" t="str">
        <f>IF(J67="Ya/Tidak",IF(K67="Ya",1,IF(K67="Tidak",0,"Blm Diisi")),IF(J67="A/B/C",IF(K67="A",1,IF(K67="B",0.5,IF(K67="C",0,"Blm Diisi"))),IF(J67="A/B/C/D",IF(K67="A",1,IF(K67="B",0.67,IF(K67="C",0.33,IF(K67="D",0,"Blm Diisi")))),IF(J67="A/B/C/D/E",IF(K67="A",1,IF(K67="B",0.75,IF(K67="C",0.5,IF(K67="D",0.25,IF(K67="E",0,"Blm Diisi"))))),IF(J67="%",IF(K67="","Blm Diisi",K67),IF(J67="Jumlah",IF(K67="","Blm Diisi",""),IF(J67="Rupiah",IF(K67="","Blm Diisi",""),IF(J67="","","-"))))))))</f>
        <v>0</v>
      </c>
      <c r="M67" s="28"/>
      <c r="O67" s="30" t="s">
        <v>313</v>
      </c>
      <c r="P67" s="30" t="s">
        <v>314</v>
      </c>
      <c r="Q67" s="35" t="s">
        <v>315</v>
      </c>
      <c r="R67"/>
      <c r="S67" s="36"/>
      <c r="T67" s="28" t="s">
        <v>24</v>
      </c>
      <c r="U67" s="28" t="s">
        <v>45</v>
      </c>
      <c r="V67" s="28" t="str">
        <f>IF(T67="Ya/Tidak",IF(U67="Ya",1,IF(U67="Tidak",0,"Blm Diisi")),IF(T67="A/B/C",IF(U67="A",1,IF(U67="B",0.5,IF(U67="C",0,"Blm Diisi"))),IF(T67="A/B/C/D",IF(U67="A",1,IF(U67="B",0.67,IF(U67="C",0.33,IF(U67="D",0,"Blm Diisi")))),IF(T67="A/B/C/D/E",IF(U67="A",1,IF(U67="B",0.75,IF(U67="C",0.5,IF(U67="D",0.25,IF(U67="E",0,"Blm Diisi"))))),IF(T67="%",IF(U67="","Blm Diisi",U67),IF(T67="Jumlah",IF(U67="","Blm Diisi",""),IF(T67="Rupiah",IF(U67="","Blm Diisi",""),IF(T67="","","-"))))))))</f>
        <v>0</v>
      </c>
      <c r="W67" s="28"/>
      <c r="X67" s="36" t="s">
        <v>316</v>
      </c>
      <c r="Y67"/>
      <c r="Z67"/>
      <c r="AA67" s="36"/>
      <c r="AB67" s="28" t="s">
        <v>24</v>
      </c>
      <c r="AC67" s="28"/>
      <c r="AD67" s="28" t="str">
        <f>IF(AB67="Ya/Tidak",IF(AC67="Ya",1,IF(AC67="Tidak",0,"Blm Diisi")),IF(AB67="A/B/C",IF(AC67="A",1,IF(AC67="B",0.5,IF(AC67="C",0,"Blm Diisi"))),IF(AB67="A/B/C/D",IF(AC67="A",1,IF(AC67="B",0.67,IF(AC67="C",0.33,IF(AC67="D",0,"Blm Diisi")))),IF(AB67="A/B/C/D/E",IF(AC67="A",1,IF(AC67="B",0.75,IF(AC67="C",0.5,IF(AC67="D",0.25,IF(AC67="E",0,"Blm Diisi"))))),IF(AB67="%",IF(AC67="","Blm Diisi",AC67),IF(AB67="Jumlah",IF(AC67="","Blm Diisi",""),IF(AB67="Rupiah",IF(AC67="","Blm Diisi",""),IF(AB67="","","-"))))))))</f>
        <v>0</v>
      </c>
      <c r="AE67" s="28"/>
      <c r="AF67" s="36"/>
      <c r="AG67"/>
      <c r="AH67"/>
      <c r="AI67" s="36"/>
      <c r="AJ67" s="28" t="s">
        <v>24</v>
      </c>
      <c r="AK67" s="28"/>
      <c r="AL67" s="28" t="str">
        <f>IF(AJ67="Ya/Tidak",IF(AK67="Ya",1,IF(AK67="Tidak",0,"Blm Diisi")),IF(AJ67="A/B/C",IF(AK67="A",1,IF(AK67="B",0.5,IF(AK67="C",0,"Blm Diisi"))),IF(AJ67="A/B/C/D",IF(AK67="A",1,IF(AK67="B",0.67,IF(AK67="C",0.33,IF(AK67="D",0,"Blm Diisi")))),IF(AJ67="A/B/C/D/E",IF(AK67="A",1,IF(AK67="B",0.75,IF(AK67="C",0.5,IF(AK67="D",0.25,IF(AK67="E",0,"Blm Diisi"))))),IF(AJ67="%",IF(AK67="","Blm Diisi",AK67),IF(AJ67="Jumlah",IF(AK67="","Blm Diisi",""),IF(AJ67="Rupiah",IF(AK67="","Blm Diisi",""),IF(AJ67="","","-"))))))))</f>
        <v>0</v>
      </c>
      <c r="AM67" s="28"/>
      <c r="AN67" s="36"/>
    </row>
    <row r="68" spans="1:40">
      <c r="A68" t="s">
        <v>20</v>
      </c>
      <c r="B68" s="23"/>
      <c r="C68" s="23"/>
      <c r="D68" s="23"/>
      <c r="E68" s="23"/>
      <c r="F68" s="23" t="s">
        <v>52</v>
      </c>
      <c r="G68" s="23" t="s">
        <v>317</v>
      </c>
      <c r="H68" s="28"/>
      <c r="I68" s="23" t="s">
        <v>318</v>
      </c>
      <c r="J68" s="28" t="s">
        <v>24</v>
      </c>
      <c r="K68" s="29" t="s">
        <v>25</v>
      </c>
      <c r="L68" s="28" t="str">
        <f>IF(J68="Ya/Tidak",IF(K68="Ya",1,IF(K68="Tidak",0,"Blm Diisi")),IF(J68="A/B/C",IF(K68="A",1,IF(K68="B",0.5,IF(K68="C",0,"Blm Diisi"))),IF(J68="A/B/C/D",IF(K68="A",1,IF(K68="B",0.67,IF(K68="C",0.33,IF(K68="D",0,"Blm Diisi")))),IF(J68="A/B/C/D/E",IF(K68="A",1,IF(K68="B",0.75,IF(K68="C",0.5,IF(K68="D",0.25,IF(K68="E",0,"Blm Diisi"))))),IF(J68="%",IF(K68="","Blm Diisi",K68),IF(J68="Jumlah",IF(K68="","Blm Diisi",""),IF(J68="Rupiah",IF(K68="","Blm Diisi",""),IF(J68="","","-"))))))))</f>
        <v>0</v>
      </c>
      <c r="M68" s="28"/>
      <c r="O68" s="30" t="s">
        <v>319</v>
      </c>
      <c r="P68" s="30" t="s">
        <v>320</v>
      </c>
      <c r="Q68" s="35" t="s">
        <v>321</v>
      </c>
      <c r="R68"/>
      <c r="S68" s="36"/>
      <c r="T68" s="28" t="s">
        <v>24</v>
      </c>
      <c r="U68" s="28" t="s">
        <v>25</v>
      </c>
      <c r="V68" s="28" t="str">
        <f>IF(T68="Ya/Tidak",IF(U68="Ya",1,IF(U68="Tidak",0,"Blm Diisi")),IF(T68="A/B/C",IF(U68="A",1,IF(U68="B",0.5,IF(U68="C",0,"Blm Diisi"))),IF(T68="A/B/C/D",IF(U68="A",1,IF(U68="B",0.67,IF(U68="C",0.33,IF(U68="D",0,"Blm Diisi")))),IF(T68="A/B/C/D/E",IF(U68="A",1,IF(U68="B",0.75,IF(U68="C",0.5,IF(U68="D",0.25,IF(U68="E",0,"Blm Diisi"))))),IF(T68="%",IF(U68="","Blm Diisi",U68),IF(T68="Jumlah",IF(U68="","Blm Diisi",""),IF(T68="Rupiah",IF(U68="","Blm Diisi",""),IF(T68="","","-"))))))))</f>
        <v>0</v>
      </c>
      <c r="W68" s="28"/>
      <c r="X68" s="36" t="s">
        <v>322</v>
      </c>
      <c r="Y68"/>
      <c r="Z68"/>
      <c r="AA68" s="36"/>
      <c r="AB68" s="28" t="s">
        <v>24</v>
      </c>
      <c r="AC68" s="28"/>
      <c r="AD68" s="28" t="str">
        <f>IF(AB68="Ya/Tidak",IF(AC68="Ya",1,IF(AC68="Tidak",0,"Blm Diisi")),IF(AB68="A/B/C",IF(AC68="A",1,IF(AC68="B",0.5,IF(AC68="C",0,"Blm Diisi"))),IF(AB68="A/B/C/D",IF(AC68="A",1,IF(AC68="B",0.67,IF(AC68="C",0.33,IF(AC68="D",0,"Blm Diisi")))),IF(AB68="A/B/C/D/E",IF(AC68="A",1,IF(AC68="B",0.75,IF(AC68="C",0.5,IF(AC68="D",0.25,IF(AC68="E",0,"Blm Diisi"))))),IF(AB68="%",IF(AC68="","Blm Diisi",AC68),IF(AB68="Jumlah",IF(AC68="","Blm Diisi",""),IF(AB68="Rupiah",IF(AC68="","Blm Diisi",""),IF(AB68="","","-"))))))))</f>
        <v>0</v>
      </c>
      <c r="AE68" s="28"/>
      <c r="AF68" s="36"/>
      <c r="AG68"/>
      <c r="AH68"/>
      <c r="AI68" s="36"/>
      <c r="AJ68" s="28" t="s">
        <v>24</v>
      </c>
      <c r="AK68" s="28"/>
      <c r="AL68" s="28" t="str">
        <f>IF(AJ68="Ya/Tidak",IF(AK68="Ya",1,IF(AK68="Tidak",0,"Blm Diisi")),IF(AJ68="A/B/C",IF(AK68="A",1,IF(AK68="B",0.5,IF(AK68="C",0,"Blm Diisi"))),IF(AJ68="A/B/C/D",IF(AK68="A",1,IF(AK68="B",0.67,IF(AK68="C",0.33,IF(AK68="D",0,"Blm Diisi")))),IF(AJ68="A/B/C/D/E",IF(AK68="A",1,IF(AK68="B",0.75,IF(AK68="C",0.5,IF(AK68="D",0.25,IF(AK68="E",0,"Blm Diisi"))))),IF(AJ68="%",IF(AK68="","Blm Diisi",AK68),IF(AJ68="Jumlah",IF(AK68="","Blm Diisi",""),IF(AJ68="Rupiah",IF(AK68="","Blm Diisi",""),IF(AJ68="","","-"))))))))</f>
        <v>0</v>
      </c>
      <c r="AM68" s="28"/>
      <c r="AN68" s="36"/>
    </row>
    <row r="69" spans="1:40">
      <c r="A69" t="s">
        <v>20</v>
      </c>
      <c r="B69" s="23"/>
      <c r="C69" s="23"/>
      <c r="D69" s="23"/>
      <c r="E69" s="23"/>
      <c r="F69" s="23" t="s">
        <v>99</v>
      </c>
      <c r="G69" s="23" t="s">
        <v>323</v>
      </c>
      <c r="H69" s="28"/>
      <c r="I69" s="23" t="s">
        <v>324</v>
      </c>
      <c r="J69" s="28" t="s">
        <v>63</v>
      </c>
      <c r="K69" s="29" t="s">
        <v>34</v>
      </c>
      <c r="L69" s="28" t="str">
        <f>IF(J69="Ya/Tidak",IF(K69="Ya",1,IF(K69="Tidak",0,"Blm Diisi")),IF(J69="A/B/C",IF(K69="A",1,IF(K69="B",0.5,IF(K69="C",0,"Blm Diisi"))),IF(J69="A/B/C/D",IF(K69="A",1,IF(K69="B",0.67,IF(K69="C",0.33,IF(K69="D",0,"Blm Diisi")))),IF(J69="A/B/C/D/E",IF(K69="A",1,IF(K69="B",0.75,IF(K69="C",0.5,IF(K69="D",0.25,IF(K69="E",0,"Blm Diisi"))))),IF(J69="%",IF(K69="","Blm Diisi",K69),IF(J69="Jumlah",IF(K69="","Blm Diisi",""),IF(J69="Rupiah",IF(K69="","Blm Diisi",""),IF(J69="","","-"))))))))</f>
        <v>0</v>
      </c>
      <c r="M69" s="28"/>
      <c r="O69" s="30" t="s">
        <v>325</v>
      </c>
      <c r="P69" s="30" t="s">
        <v>326</v>
      </c>
      <c r="Q69" s="35" t="s">
        <v>327</v>
      </c>
      <c r="R69"/>
      <c r="S69" s="36"/>
      <c r="T69" s="28" t="s">
        <v>63</v>
      </c>
      <c r="U69" s="28" t="s">
        <v>38</v>
      </c>
      <c r="V69" s="28" t="str">
        <f>IF(T69="Ya/Tidak",IF(U69="Ya",1,IF(U69="Tidak",0,"Blm Diisi")),IF(T69="A/B/C",IF(U69="A",1,IF(U69="B",0.5,IF(U69="C",0,"Blm Diisi"))),IF(T69="A/B/C/D",IF(U69="A",1,IF(U69="B",0.67,IF(U69="C",0.33,IF(U69="D",0,"Blm Diisi")))),IF(T69="A/B/C/D/E",IF(U69="A",1,IF(U69="B",0.75,IF(U69="C",0.5,IF(U69="D",0.25,IF(U69="E",0,"Blm Diisi"))))),IF(T69="%",IF(U69="","Blm Diisi",U69),IF(T69="Jumlah",IF(U69="","Blm Diisi",""),IF(T69="Rupiah",IF(U69="","Blm Diisi",""),IF(T69="","","-"))))))))</f>
        <v>0</v>
      </c>
      <c r="W69" s="28"/>
      <c r="X69" s="36" t="s">
        <v>328</v>
      </c>
      <c r="Y69"/>
      <c r="Z69"/>
      <c r="AA69" s="36"/>
      <c r="AB69" s="28" t="s">
        <v>63</v>
      </c>
      <c r="AC69" s="28"/>
      <c r="AD69" s="28" t="str">
        <f>IF(AB69="Ya/Tidak",IF(AC69="Ya",1,IF(AC69="Tidak",0,"Blm Diisi")),IF(AB69="A/B/C",IF(AC69="A",1,IF(AC69="B",0.5,IF(AC69="C",0,"Blm Diisi"))),IF(AB69="A/B/C/D",IF(AC69="A",1,IF(AC69="B",0.67,IF(AC69="C",0.33,IF(AC69="D",0,"Blm Diisi")))),IF(AB69="A/B/C/D/E",IF(AC69="A",1,IF(AC69="B",0.75,IF(AC69="C",0.5,IF(AC69="D",0.25,IF(AC69="E",0,"Blm Diisi"))))),IF(AB69="%",IF(AC69="","Blm Diisi",AC69),IF(AB69="Jumlah",IF(AC69="","Blm Diisi",""),IF(AB69="Rupiah",IF(AC69="","Blm Diisi",""),IF(AB69="","","-"))))))))</f>
        <v>0</v>
      </c>
      <c r="AE69" s="28"/>
      <c r="AF69" s="36"/>
      <c r="AG69"/>
      <c r="AH69"/>
      <c r="AI69" s="36"/>
      <c r="AJ69" s="28" t="s">
        <v>63</v>
      </c>
      <c r="AK69" s="28"/>
      <c r="AL69" s="28" t="str">
        <f>IF(AJ69="Ya/Tidak",IF(AK69="Ya",1,IF(AK69="Tidak",0,"Blm Diisi")),IF(AJ69="A/B/C",IF(AK69="A",1,IF(AK69="B",0.5,IF(AK69="C",0,"Blm Diisi"))),IF(AJ69="A/B/C/D",IF(AK69="A",1,IF(AK69="B",0.67,IF(AK69="C",0.33,IF(AK69="D",0,"Blm Diisi")))),IF(AJ69="A/B/C/D/E",IF(AK69="A",1,IF(AK69="B",0.75,IF(AK69="C",0.5,IF(AK69="D",0.25,IF(AK69="E",0,"Blm Diisi"))))),IF(AJ69="%",IF(AK69="","Blm Diisi",AK69),IF(AJ69="Jumlah",IF(AK69="","Blm Diisi",""),IF(AJ69="Rupiah",IF(AK69="","Blm Diisi",""),IF(AJ69="","","-"))))))))</f>
        <v>0</v>
      </c>
      <c r="AM69" s="28"/>
      <c r="AN69" s="36"/>
    </row>
    <row r="70" spans="1:40">
      <c r="A70" t="s">
        <v>20</v>
      </c>
      <c r="B70" s="23"/>
      <c r="C70" s="23"/>
      <c r="D70" s="23"/>
      <c r="E70" s="23"/>
      <c r="F70" s="23" t="s">
        <v>229</v>
      </c>
      <c r="G70" s="23" t="s">
        <v>329</v>
      </c>
      <c r="H70" s="28"/>
      <c r="I70" s="23" t="s">
        <v>330</v>
      </c>
      <c r="J70" s="28" t="s">
        <v>24</v>
      </c>
      <c r="K70" s="29" t="s">
        <v>25</v>
      </c>
      <c r="L70" s="28" t="str">
        <f>IF(J70="Ya/Tidak",IF(K70="Ya",1,IF(K70="Tidak",0,"Blm Diisi")),IF(J70="A/B/C",IF(K70="A",1,IF(K70="B",0.5,IF(K70="C",0,"Blm Diisi"))),IF(J70="A/B/C/D",IF(K70="A",1,IF(K70="B",0.67,IF(K70="C",0.33,IF(K70="D",0,"Blm Diisi")))),IF(J70="A/B/C/D/E",IF(K70="A",1,IF(K70="B",0.75,IF(K70="C",0.5,IF(K70="D",0.25,IF(K70="E",0,"Blm Diisi"))))),IF(J70="%",IF(K70="","Blm Diisi",K70),IF(J70="Jumlah",IF(K70="","Blm Diisi",""),IF(J70="Rupiah",IF(K70="","Blm Diisi",""),IF(J70="","","-"))))))))</f>
        <v>0</v>
      </c>
      <c r="M70" s="28"/>
      <c r="O70" s="30" t="s">
        <v>331</v>
      </c>
      <c r="P70" s="30" t="s">
        <v>332</v>
      </c>
      <c r="Q70" s="35" t="s">
        <v>333</v>
      </c>
      <c r="R70"/>
      <c r="S70" s="36"/>
      <c r="T70" s="28" t="s">
        <v>24</v>
      </c>
      <c r="U70" s="28" t="s">
        <v>25</v>
      </c>
      <c r="V70" s="28" t="str">
        <f>IF(T70="Ya/Tidak",IF(U70="Ya",1,IF(U70="Tidak",0,"Blm Diisi")),IF(T70="A/B/C",IF(U70="A",1,IF(U70="B",0.5,IF(U70="C",0,"Blm Diisi"))),IF(T70="A/B/C/D",IF(U70="A",1,IF(U70="B",0.67,IF(U70="C",0.33,IF(U70="D",0,"Blm Diisi")))),IF(T70="A/B/C/D/E",IF(U70="A",1,IF(U70="B",0.75,IF(U70="C",0.5,IF(U70="D",0.25,IF(U70="E",0,"Blm Diisi"))))),IF(T70="%",IF(U70="","Blm Diisi",U70),IF(T70="Jumlah",IF(U70="","Blm Diisi",""),IF(T70="Rupiah",IF(U70="","Blm Diisi",""),IF(T70="","","-"))))))))</f>
        <v>0</v>
      </c>
      <c r="W70" s="28"/>
      <c r="X70" s="36" t="s">
        <v>334</v>
      </c>
      <c r="Y70"/>
      <c r="Z70"/>
      <c r="AA70" s="36"/>
      <c r="AB70" s="28" t="s">
        <v>24</v>
      </c>
      <c r="AC70" s="28"/>
      <c r="AD70" s="28" t="str">
        <f>IF(AB70="Ya/Tidak",IF(AC70="Ya",1,IF(AC70="Tidak",0,"Blm Diisi")),IF(AB70="A/B/C",IF(AC70="A",1,IF(AC70="B",0.5,IF(AC70="C",0,"Blm Diisi"))),IF(AB70="A/B/C/D",IF(AC70="A",1,IF(AC70="B",0.67,IF(AC70="C",0.33,IF(AC70="D",0,"Blm Diisi")))),IF(AB70="A/B/C/D/E",IF(AC70="A",1,IF(AC70="B",0.75,IF(AC70="C",0.5,IF(AC70="D",0.25,IF(AC70="E",0,"Blm Diisi"))))),IF(AB70="%",IF(AC70="","Blm Diisi",AC70),IF(AB70="Jumlah",IF(AC70="","Blm Diisi",""),IF(AB70="Rupiah",IF(AC70="","Blm Diisi",""),IF(AB70="","","-"))))))))</f>
        <v>0</v>
      </c>
      <c r="AE70" s="28"/>
      <c r="AF70" s="36"/>
      <c r="AG70"/>
      <c r="AH70"/>
      <c r="AI70" s="36"/>
      <c r="AJ70" s="28" t="s">
        <v>24</v>
      </c>
      <c r="AK70" s="28"/>
      <c r="AL70" s="28" t="str">
        <f>IF(AJ70="Ya/Tidak",IF(AK70="Ya",1,IF(AK70="Tidak",0,"Blm Diisi")),IF(AJ70="A/B/C",IF(AK70="A",1,IF(AK70="B",0.5,IF(AK70="C",0,"Blm Diisi"))),IF(AJ70="A/B/C/D",IF(AK70="A",1,IF(AK70="B",0.67,IF(AK70="C",0.33,IF(AK70="D",0,"Blm Diisi")))),IF(AJ70="A/B/C/D/E",IF(AK70="A",1,IF(AK70="B",0.75,IF(AK70="C",0.5,IF(AK70="D",0.25,IF(AK70="E",0,"Blm Diisi"))))),IF(AJ70="%",IF(AK70="","Blm Diisi",AK70),IF(AJ70="Jumlah",IF(AK70="","Blm Diisi",""),IF(AJ70="Rupiah",IF(AK70="","Blm Diisi",""),IF(AJ70="","","-"))))))))</f>
        <v>0</v>
      </c>
      <c r="AM70" s="28"/>
      <c r="AN70" s="36"/>
    </row>
    <row r="71" spans="1:40">
      <c r="A71" t="s">
        <v>20</v>
      </c>
      <c r="B71" s="23"/>
      <c r="C71" s="23"/>
      <c r="D71" s="23"/>
      <c r="E71" s="23"/>
      <c r="F71" s="23" t="s">
        <v>236</v>
      </c>
      <c r="G71" s="23" t="s">
        <v>335</v>
      </c>
      <c r="H71" s="28"/>
      <c r="I71" s="23" t="s">
        <v>336</v>
      </c>
      <c r="J71" s="28" t="s">
        <v>33</v>
      </c>
      <c r="K71" s="29" t="s">
        <v>34</v>
      </c>
      <c r="L71" s="28" t="str">
        <f>IF(J71="Ya/Tidak",IF(K71="Ya",1,IF(K71="Tidak",0,"Blm Diisi")),IF(J71="A/B/C",IF(K71="A",1,IF(K71="B",0.5,IF(K71="C",0,"Blm Diisi"))),IF(J71="A/B/C/D",IF(K71="A",1,IF(K71="B",0.67,IF(K71="C",0.33,IF(K71="D",0,"Blm Diisi")))),IF(J71="A/B/C/D/E",IF(K71="A",1,IF(K71="B",0.75,IF(K71="C",0.5,IF(K71="D",0.25,IF(K71="E",0,"Blm Diisi"))))),IF(J71="%",IF(K71="","Blm Diisi",K71),IF(J71="Jumlah",IF(K71="","Blm Diisi",""),IF(J71="Rupiah",IF(K71="","Blm Diisi",""),IF(J71="","","-"))))))))</f>
        <v>0</v>
      </c>
      <c r="M71" s="28"/>
      <c r="O71" s="30" t="s">
        <v>337</v>
      </c>
      <c r="P71" s="30" t="s">
        <v>338</v>
      </c>
      <c r="Q71" s="35" t="s">
        <v>339</v>
      </c>
      <c r="R71"/>
      <c r="S71" s="36"/>
      <c r="T71" s="28" t="s">
        <v>33</v>
      </c>
      <c r="U71" s="28" t="s">
        <v>38</v>
      </c>
      <c r="V71" s="28" t="str">
        <f>IF(T71="Ya/Tidak",IF(U71="Ya",1,IF(U71="Tidak",0,"Blm Diisi")),IF(T71="A/B/C",IF(U71="A",1,IF(U71="B",0.5,IF(U71="C",0,"Blm Diisi"))),IF(T71="A/B/C/D",IF(U71="A",1,IF(U71="B",0.67,IF(U71="C",0.33,IF(U71="D",0,"Blm Diisi")))),IF(T71="A/B/C/D/E",IF(U71="A",1,IF(U71="B",0.75,IF(U71="C",0.5,IF(U71="D",0.25,IF(U71="E",0,"Blm Diisi"))))),IF(T71="%",IF(U71="","Blm Diisi",U71),IF(T71="Jumlah",IF(U71="","Blm Diisi",""),IF(T71="Rupiah",IF(U71="","Blm Diisi",""),IF(T71="","","-"))))))))</f>
        <v>0</v>
      </c>
      <c r="W71" s="28"/>
      <c r="X71" s="36" t="s">
        <v>340</v>
      </c>
      <c r="Y71"/>
      <c r="Z71"/>
      <c r="AA71" s="36"/>
      <c r="AB71" s="28" t="s">
        <v>33</v>
      </c>
      <c r="AC71" s="28"/>
      <c r="AD71" s="28" t="str">
        <f>IF(AB71="Ya/Tidak",IF(AC71="Ya",1,IF(AC71="Tidak",0,"Blm Diisi")),IF(AB71="A/B/C",IF(AC71="A",1,IF(AC71="B",0.5,IF(AC71="C",0,"Blm Diisi"))),IF(AB71="A/B/C/D",IF(AC71="A",1,IF(AC71="B",0.67,IF(AC71="C",0.33,IF(AC71="D",0,"Blm Diisi")))),IF(AB71="A/B/C/D/E",IF(AC71="A",1,IF(AC71="B",0.75,IF(AC71="C",0.5,IF(AC71="D",0.25,IF(AC71="E",0,"Blm Diisi"))))),IF(AB71="%",IF(AC71="","Blm Diisi",AC71),IF(AB71="Jumlah",IF(AC71="","Blm Diisi",""),IF(AB71="Rupiah",IF(AC71="","Blm Diisi",""),IF(AB71="","","-"))))))))</f>
        <v>0</v>
      </c>
      <c r="AE71" s="28"/>
      <c r="AF71" s="36"/>
      <c r="AG71"/>
      <c r="AH71"/>
      <c r="AI71" s="36"/>
      <c r="AJ71" s="28" t="s">
        <v>33</v>
      </c>
      <c r="AK71" s="28"/>
      <c r="AL71" s="28" t="str">
        <f>IF(AJ71="Ya/Tidak",IF(AK71="Ya",1,IF(AK71="Tidak",0,"Blm Diisi")),IF(AJ71="A/B/C",IF(AK71="A",1,IF(AK71="B",0.5,IF(AK71="C",0,"Blm Diisi"))),IF(AJ71="A/B/C/D",IF(AK71="A",1,IF(AK71="B",0.67,IF(AK71="C",0.33,IF(AK71="D",0,"Blm Diisi")))),IF(AJ71="A/B/C/D/E",IF(AK71="A",1,IF(AK71="B",0.75,IF(AK71="C",0.5,IF(AK71="D",0.25,IF(AK71="E",0,"Blm Diisi"))))),IF(AJ71="%",IF(AK71="","Blm Diisi",AK71),IF(AJ71="Jumlah",IF(AK71="","Blm Diisi",""),IF(AJ71="Rupiah",IF(AK71="","Blm Diisi",""),IF(AJ71="","","-"))))))))</f>
        <v>0</v>
      </c>
      <c r="AM71" s="28"/>
      <c r="AN71" s="36"/>
    </row>
    <row r="72" spans="1:40">
      <c r="A72" t="s">
        <v>20</v>
      </c>
      <c r="B72" s="23"/>
      <c r="C72" s="23"/>
      <c r="D72" s="23"/>
      <c r="E72" s="23"/>
      <c r="F72" s="23" t="s">
        <v>341</v>
      </c>
      <c r="G72" s="23" t="s">
        <v>342</v>
      </c>
      <c r="H72" s="28"/>
      <c r="I72" s="23" t="s">
        <v>343</v>
      </c>
      <c r="J72" s="28" t="s">
        <v>24</v>
      </c>
      <c r="K72" s="29" t="s">
        <v>25</v>
      </c>
      <c r="L72" s="28" t="str">
        <f>IF(J72="Ya/Tidak",IF(K72="Ya",1,IF(K72="Tidak",0,"Blm Diisi")),IF(J72="A/B/C",IF(K72="A",1,IF(K72="B",0.5,IF(K72="C",0,"Blm Diisi"))),IF(J72="A/B/C/D",IF(K72="A",1,IF(K72="B",0.67,IF(K72="C",0.33,IF(K72="D",0,"Blm Diisi")))),IF(J72="A/B/C/D/E",IF(K72="A",1,IF(K72="B",0.75,IF(K72="C",0.5,IF(K72="D",0.25,IF(K72="E",0,"Blm Diisi"))))),IF(J72="%",IF(K72="","Blm Diisi",K72),IF(J72="Jumlah",IF(K72="","Blm Diisi",""),IF(J72="Rupiah",IF(K72="","Blm Diisi",""),IF(J72="","","-"))))))))</f>
        <v>0</v>
      </c>
      <c r="M72" s="28"/>
      <c r="O72" s="30" t="s">
        <v>344</v>
      </c>
      <c r="P72" s="30" t="s">
        <v>345</v>
      </c>
      <c r="Q72" s="35" t="s">
        <v>346</v>
      </c>
      <c r="R72"/>
      <c r="S72" s="36"/>
      <c r="T72" s="28" t="s">
        <v>24</v>
      </c>
      <c r="U72" s="28" t="s">
        <v>25</v>
      </c>
      <c r="V72" s="28" t="str">
        <f>IF(T72="Ya/Tidak",IF(U72="Ya",1,IF(U72="Tidak",0,"Blm Diisi")),IF(T72="A/B/C",IF(U72="A",1,IF(U72="B",0.5,IF(U72="C",0,"Blm Diisi"))),IF(T72="A/B/C/D",IF(U72="A",1,IF(U72="B",0.67,IF(U72="C",0.33,IF(U72="D",0,"Blm Diisi")))),IF(T72="A/B/C/D/E",IF(U72="A",1,IF(U72="B",0.75,IF(U72="C",0.5,IF(U72="D",0.25,IF(U72="E",0,"Blm Diisi"))))),IF(T72="%",IF(U72="","Blm Diisi",U72),IF(T72="Jumlah",IF(U72="","Blm Diisi",""),IF(T72="Rupiah",IF(U72="","Blm Diisi",""),IF(T72="","","-"))))))))</f>
        <v>0</v>
      </c>
      <c r="W72" s="28"/>
      <c r="X72" s="36" t="s">
        <v>347</v>
      </c>
      <c r="Y72"/>
      <c r="Z72"/>
      <c r="AA72" s="36"/>
      <c r="AB72" s="28" t="s">
        <v>24</v>
      </c>
      <c r="AC72" s="28"/>
      <c r="AD72" s="28" t="str">
        <f>IF(AB72="Ya/Tidak",IF(AC72="Ya",1,IF(AC72="Tidak",0,"Blm Diisi")),IF(AB72="A/B/C",IF(AC72="A",1,IF(AC72="B",0.5,IF(AC72="C",0,"Blm Diisi"))),IF(AB72="A/B/C/D",IF(AC72="A",1,IF(AC72="B",0.67,IF(AC72="C",0.33,IF(AC72="D",0,"Blm Diisi")))),IF(AB72="A/B/C/D/E",IF(AC72="A",1,IF(AC72="B",0.75,IF(AC72="C",0.5,IF(AC72="D",0.25,IF(AC72="E",0,"Blm Diisi"))))),IF(AB72="%",IF(AC72="","Blm Diisi",AC72),IF(AB72="Jumlah",IF(AC72="","Blm Diisi",""),IF(AB72="Rupiah",IF(AC72="","Blm Diisi",""),IF(AB72="","","-"))))))))</f>
        <v>0</v>
      </c>
      <c r="AE72" s="28"/>
      <c r="AF72" s="36"/>
      <c r="AG72"/>
      <c r="AH72"/>
      <c r="AI72" s="36"/>
      <c r="AJ72" s="28" t="s">
        <v>24</v>
      </c>
      <c r="AK72" s="28"/>
      <c r="AL72" s="28" t="str">
        <f>IF(AJ72="Ya/Tidak",IF(AK72="Ya",1,IF(AK72="Tidak",0,"Blm Diisi")),IF(AJ72="A/B/C",IF(AK72="A",1,IF(AK72="B",0.5,IF(AK72="C",0,"Blm Diisi"))),IF(AJ72="A/B/C/D",IF(AK72="A",1,IF(AK72="B",0.67,IF(AK72="C",0.33,IF(AK72="D",0,"Blm Diisi")))),IF(AJ72="A/B/C/D/E",IF(AK72="A",1,IF(AK72="B",0.75,IF(AK72="C",0.5,IF(AK72="D",0.25,IF(AK72="E",0,"Blm Diisi"))))),IF(AJ72="%",IF(AK72="","Blm Diisi",AK72),IF(AJ72="Jumlah",IF(AK72="","Blm Diisi",""),IF(AJ72="Rupiah",IF(AK72="","Blm Diisi",""),IF(AJ72="","","-"))))))))</f>
        <v>0</v>
      </c>
      <c r="AM72" s="28"/>
      <c r="AN72" s="36"/>
    </row>
    <row r="73" spans="1:40">
      <c r="A73" t="s">
        <v>20</v>
      </c>
      <c r="B73" s="23"/>
      <c r="C73" s="23"/>
      <c r="D73" s="23"/>
      <c r="E73" s="23"/>
      <c r="F73" s="23" t="s">
        <v>348</v>
      </c>
      <c r="G73" s="23" t="s">
        <v>349</v>
      </c>
      <c r="H73" s="28"/>
      <c r="I73" s="23" t="s">
        <v>350</v>
      </c>
      <c r="J73" s="28" t="s">
        <v>33</v>
      </c>
      <c r="K73" s="29" t="s">
        <v>34</v>
      </c>
      <c r="L73" s="28" t="str">
        <f>IF(J73="Ya/Tidak",IF(K73="Ya",1,IF(K73="Tidak",0,"Blm Diisi")),IF(J73="A/B/C",IF(K73="A",1,IF(K73="B",0.5,IF(K73="C",0,"Blm Diisi"))),IF(J73="A/B/C/D",IF(K73="A",1,IF(K73="B",0.67,IF(K73="C",0.33,IF(K73="D",0,"Blm Diisi")))),IF(J73="A/B/C/D/E",IF(K73="A",1,IF(K73="B",0.75,IF(K73="C",0.5,IF(K73="D",0.25,IF(K73="E",0,"Blm Diisi"))))),IF(J73="%",IF(K73="","Blm Diisi",K73),IF(J73="Jumlah",IF(K73="","Blm Diisi",""),IF(J73="Rupiah",IF(K73="","Blm Diisi",""),IF(J73="","","-"))))))))</f>
        <v>0</v>
      </c>
      <c r="M73" s="28"/>
      <c r="O73" s="30" t="s">
        <v>351</v>
      </c>
      <c r="P73" s="30" t="s">
        <v>352</v>
      </c>
      <c r="Q73" s="35" t="s">
        <v>353</v>
      </c>
      <c r="R73"/>
      <c r="S73" s="36"/>
      <c r="T73" s="28" t="s">
        <v>33</v>
      </c>
      <c r="U73" s="28" t="s">
        <v>34</v>
      </c>
      <c r="V73" s="28" t="str">
        <f>IF(T73="Ya/Tidak",IF(U73="Ya",1,IF(U73="Tidak",0,"Blm Diisi")),IF(T73="A/B/C",IF(U73="A",1,IF(U73="B",0.5,IF(U73="C",0,"Blm Diisi"))),IF(T73="A/B/C/D",IF(U73="A",1,IF(U73="B",0.67,IF(U73="C",0.33,IF(U73="D",0,"Blm Diisi")))),IF(T73="A/B/C/D/E",IF(U73="A",1,IF(U73="B",0.75,IF(U73="C",0.5,IF(U73="D",0.25,IF(U73="E",0,"Blm Diisi"))))),IF(T73="%",IF(U73="","Blm Diisi",U73),IF(T73="Jumlah",IF(U73="","Blm Diisi",""),IF(T73="Rupiah",IF(U73="","Blm Diisi",""),IF(T73="","","-"))))))))</f>
        <v>0</v>
      </c>
      <c r="W73" s="28"/>
      <c r="X73" s="36" t="s">
        <v>354</v>
      </c>
      <c r="Y73"/>
      <c r="Z73"/>
      <c r="AA73" s="36"/>
      <c r="AB73" s="28" t="s">
        <v>33</v>
      </c>
      <c r="AC73" s="28"/>
      <c r="AD73" s="28" t="str">
        <f>IF(AB73="Ya/Tidak",IF(AC73="Ya",1,IF(AC73="Tidak",0,"Blm Diisi")),IF(AB73="A/B/C",IF(AC73="A",1,IF(AC73="B",0.5,IF(AC73="C",0,"Blm Diisi"))),IF(AB73="A/B/C/D",IF(AC73="A",1,IF(AC73="B",0.67,IF(AC73="C",0.33,IF(AC73="D",0,"Blm Diisi")))),IF(AB73="A/B/C/D/E",IF(AC73="A",1,IF(AC73="B",0.75,IF(AC73="C",0.5,IF(AC73="D",0.25,IF(AC73="E",0,"Blm Diisi"))))),IF(AB73="%",IF(AC73="","Blm Diisi",AC73),IF(AB73="Jumlah",IF(AC73="","Blm Diisi",""),IF(AB73="Rupiah",IF(AC73="","Blm Diisi",""),IF(AB73="","","-"))))))))</f>
        <v>0</v>
      </c>
      <c r="AE73" s="28"/>
      <c r="AF73" s="36"/>
      <c r="AG73"/>
      <c r="AH73"/>
      <c r="AI73" s="36"/>
      <c r="AJ73" s="28" t="s">
        <v>33</v>
      </c>
      <c r="AK73" s="28"/>
      <c r="AL73" s="28" t="str">
        <f>IF(AJ73="Ya/Tidak",IF(AK73="Ya",1,IF(AK73="Tidak",0,"Blm Diisi")),IF(AJ73="A/B/C",IF(AK73="A",1,IF(AK73="B",0.5,IF(AK73="C",0,"Blm Diisi"))),IF(AJ73="A/B/C/D",IF(AK73="A",1,IF(AK73="B",0.67,IF(AK73="C",0.33,IF(AK73="D",0,"Blm Diisi")))),IF(AJ73="A/B/C/D/E",IF(AK73="A",1,IF(AK73="B",0.75,IF(AK73="C",0.5,IF(AK73="D",0.25,IF(AK73="E",0,"Blm Diisi"))))),IF(AJ73="%",IF(AK73="","Blm Diisi",AK73),IF(AJ73="Jumlah",IF(AK73="","Blm Diisi",""),IF(AJ73="Rupiah",IF(AK73="","Blm Diisi",""),IF(AJ73="","","-"))))))))</f>
        <v>0</v>
      </c>
      <c r="AM73" s="28"/>
      <c r="AN73" s="36"/>
    </row>
    <row r="74" spans="1:40">
      <c r="B74" s="21"/>
      <c r="C74" s="21"/>
      <c r="D74" s="21">
        <v>5.0</v>
      </c>
      <c r="E74" s="21" t="s">
        <v>355</v>
      </c>
      <c r="F74" s="21"/>
      <c r="G74" s="21"/>
      <c r="H74" s="26">
        <v>7.5</v>
      </c>
      <c r="I74" s="21"/>
      <c r="J74" s="26"/>
      <c r="K74" s="26"/>
      <c r="L74" s="26" t="str">
        <f>SUM(L75,L78,L83,L88,L93)</f>
        <v>0</v>
      </c>
      <c r="M74" s="26" t="str">
        <f>L74/H74</f>
        <v>0</v>
      </c>
      <c r="N74" s="1"/>
      <c r="O74" s="21"/>
      <c r="P74" s="21"/>
      <c r="Q74" s="33"/>
      <c r="R74"/>
      <c r="S74" s="36">
        <v>7.5</v>
      </c>
      <c r="T74" s="28"/>
      <c r="U74" s="28"/>
      <c r="V74" s="28" t="str">
        <f>SUM(V75,V78,V83,V88,V93)</f>
        <v>0</v>
      </c>
      <c r="W74" s="28" t="str">
        <f>V74/S74</f>
        <v>0</v>
      </c>
      <c r="X74" s="36"/>
      <c r="Y74"/>
      <c r="Z74"/>
      <c r="AA74" s="36">
        <v>7.5</v>
      </c>
      <c r="AB74" s="28"/>
      <c r="AC74" s="28"/>
      <c r="AD74" s="28" t="str">
        <f>SUM(AD75,AD78,AD83,AD88,AD93)</f>
        <v>0</v>
      </c>
      <c r="AE74" s="28" t="str">
        <f>AD74/AA74</f>
        <v>0</v>
      </c>
      <c r="AF74" s="36"/>
      <c r="AG74"/>
      <c r="AH74"/>
      <c r="AI74" s="36">
        <v>7.5</v>
      </c>
      <c r="AJ74" s="28"/>
      <c r="AK74" s="28"/>
      <c r="AL74" s="28" t="str">
        <f>SUM(AL75,AL78,AL83,AL88,AL93)</f>
        <v>0</v>
      </c>
      <c r="AM74" s="28" t="str">
        <f>AL74/AI74</f>
        <v>0</v>
      </c>
      <c r="AN74" s="36"/>
    </row>
    <row r="75" spans="1:40">
      <c r="B75" s="22"/>
      <c r="C75" s="22"/>
      <c r="D75" s="22"/>
      <c r="E75" s="22" t="s">
        <v>18</v>
      </c>
      <c r="F75" s="22" t="s">
        <v>356</v>
      </c>
      <c r="G75" s="22"/>
      <c r="H75" s="27">
        <v>1.5</v>
      </c>
      <c r="I75" s="22"/>
      <c r="J75" s="27"/>
      <c r="K75" s="27"/>
      <c r="L75" s="27" t="str">
        <f>AVERAGE(L76:L77)*H75</f>
        <v>0</v>
      </c>
      <c r="M75" s="27" t="str">
        <f>L75/H75</f>
        <v>0</v>
      </c>
      <c r="N75" s="1"/>
      <c r="O75" s="22"/>
      <c r="P75" s="22"/>
      <c r="Q75" s="34"/>
      <c r="R75"/>
      <c r="S75" s="36">
        <v>1.5</v>
      </c>
      <c r="T75" s="28"/>
      <c r="U75" s="28"/>
      <c r="V75" s="28" t="str">
        <f>AVERAGE(V76:V77)*S75</f>
        <v>0</v>
      </c>
      <c r="W75" s="28" t="str">
        <f>V75/S75</f>
        <v>0</v>
      </c>
      <c r="X75" s="36"/>
      <c r="Y75"/>
      <c r="Z75"/>
      <c r="AA75" s="36">
        <v>1.5</v>
      </c>
      <c r="AB75" s="28"/>
      <c r="AC75" s="28"/>
      <c r="AD75" s="28" t="str">
        <f>AVERAGE(AD76:AD77)*AA75</f>
        <v>0</v>
      </c>
      <c r="AE75" s="28" t="str">
        <f>AD75/AA75</f>
        <v>0</v>
      </c>
      <c r="AF75" s="36"/>
      <c r="AG75"/>
      <c r="AH75"/>
      <c r="AI75" s="36">
        <v>1.5</v>
      </c>
      <c r="AJ75" s="28"/>
      <c r="AK75" s="28"/>
      <c r="AL75" s="28" t="str">
        <f>AVERAGE(AL76:AL77)*AI75</f>
        <v>0</v>
      </c>
      <c r="AM75" s="28" t="str">
        <f>AL75/AI75</f>
        <v>0</v>
      </c>
      <c r="AN75" s="36"/>
    </row>
    <row r="76" spans="1:40">
      <c r="A76" t="s">
        <v>20</v>
      </c>
      <c r="B76" s="23"/>
      <c r="C76" s="23"/>
      <c r="D76" s="23"/>
      <c r="E76" s="23"/>
      <c r="F76" s="23" t="s">
        <v>21</v>
      </c>
      <c r="G76" s="23" t="s">
        <v>357</v>
      </c>
      <c r="H76" s="28"/>
      <c r="I76" s="23" t="s">
        <v>358</v>
      </c>
      <c r="J76" s="28" t="s">
        <v>33</v>
      </c>
      <c r="K76" s="29" t="s">
        <v>34</v>
      </c>
      <c r="L76" s="28" t="str">
        <f>IF(J76="Ya/Tidak",IF(K76="Ya",1,IF(K76="Tidak",0,"Blm Diisi")),IF(J76="A/B/C",IF(K76="A",1,IF(K76="B",0.5,IF(K76="C",0,"Blm Diisi"))),IF(J76="A/B/C/D",IF(K76="A",1,IF(K76="B",0.67,IF(K76="C",0.33,IF(K76="D",0,"Blm Diisi")))),IF(J76="A/B/C/D/E",IF(K76="A",1,IF(K76="B",0.75,IF(K76="C",0.5,IF(K76="D",0.25,IF(K76="E",0,"Blm Diisi"))))),IF(J76="%",IF(K76="","Blm Diisi",K76),IF(J76="Jumlah",IF(K76="","Blm Diisi",""),IF(J76="Rupiah",IF(K76="","Blm Diisi",""),IF(J76="","","-"))))))))</f>
        <v>0</v>
      </c>
      <c r="M76" s="28"/>
      <c r="O76" s="30" t="s">
        <v>357</v>
      </c>
      <c r="P76" s="30" t="s">
        <v>359</v>
      </c>
      <c r="Q76" s="35" t="s">
        <v>360</v>
      </c>
      <c r="R76"/>
      <c r="S76" s="36"/>
      <c r="T76" s="28" t="s">
        <v>33</v>
      </c>
      <c r="U76" s="28" t="s">
        <v>34</v>
      </c>
      <c r="V76" s="28" t="str">
        <f>IF(T76="Ya/Tidak",IF(U76="Ya",1,IF(U76="Tidak",0,"Blm Diisi")),IF(T76="A/B/C",IF(U76="A",1,IF(U76="B",0.5,IF(U76="C",0,"Blm Diisi"))),IF(T76="A/B/C/D",IF(U76="A",1,IF(U76="B",0.67,IF(U76="C",0.33,IF(U76="D",0,"Blm Diisi")))),IF(T76="A/B/C/D/E",IF(U76="A",1,IF(U76="B",0.75,IF(U76="C",0.5,IF(U76="D",0.25,IF(U76="E",0,"Blm Diisi"))))),IF(T76="%",IF(U76="","Blm Diisi",U76),IF(T76="Jumlah",IF(U76="","Blm Diisi",""),IF(T76="Rupiah",IF(U76="","Blm Diisi",""),IF(T76="","","-"))))))))</f>
        <v>0</v>
      </c>
      <c r="W76" s="28"/>
      <c r="X76" s="36" t="s">
        <v>361</v>
      </c>
      <c r="Y76"/>
      <c r="Z76"/>
      <c r="AA76" s="36"/>
      <c r="AB76" s="28" t="s">
        <v>33</v>
      </c>
      <c r="AC76" s="28"/>
      <c r="AD76" s="28" t="str">
        <f>IF(AB76="Ya/Tidak",IF(AC76="Ya",1,IF(AC76="Tidak",0,"Blm Diisi")),IF(AB76="A/B/C",IF(AC76="A",1,IF(AC76="B",0.5,IF(AC76="C",0,"Blm Diisi"))),IF(AB76="A/B/C/D",IF(AC76="A",1,IF(AC76="B",0.67,IF(AC76="C",0.33,IF(AC76="D",0,"Blm Diisi")))),IF(AB76="A/B/C/D/E",IF(AC76="A",1,IF(AC76="B",0.75,IF(AC76="C",0.5,IF(AC76="D",0.25,IF(AC76="E",0,"Blm Diisi"))))),IF(AB76="%",IF(AC76="","Blm Diisi",AC76),IF(AB76="Jumlah",IF(AC76="","Blm Diisi",""),IF(AB76="Rupiah",IF(AC76="","Blm Diisi",""),IF(AB76="","","-"))))))))</f>
        <v>0</v>
      </c>
      <c r="AE76" s="28"/>
      <c r="AF76" s="36"/>
      <c r="AG76"/>
      <c r="AH76"/>
      <c r="AI76" s="36"/>
      <c r="AJ76" s="28" t="s">
        <v>33</v>
      </c>
      <c r="AK76" s="28"/>
      <c r="AL76" s="28" t="str">
        <f>IF(AJ76="Ya/Tidak",IF(AK76="Ya",1,IF(AK76="Tidak",0,"Blm Diisi")),IF(AJ76="A/B/C",IF(AK76="A",1,IF(AK76="B",0.5,IF(AK76="C",0,"Blm Diisi"))),IF(AJ76="A/B/C/D",IF(AK76="A",1,IF(AK76="B",0.67,IF(AK76="C",0.33,IF(AK76="D",0,"Blm Diisi")))),IF(AJ76="A/B/C/D/E",IF(AK76="A",1,IF(AK76="B",0.75,IF(AK76="C",0.5,IF(AK76="D",0.25,IF(AK76="E",0,"Blm Diisi"))))),IF(AJ76="%",IF(AK76="","Blm Diisi",AK76),IF(AJ76="Jumlah",IF(AK76="","Blm Diisi",""),IF(AJ76="Rupiah",IF(AK76="","Blm Diisi",""),IF(AJ76="","","-"))))))))</f>
        <v>0</v>
      </c>
      <c r="AM76" s="28"/>
      <c r="AN76" s="36"/>
    </row>
    <row r="77" spans="1:40">
      <c r="A77" t="s">
        <v>20</v>
      </c>
      <c r="B77" s="23"/>
      <c r="C77" s="23"/>
      <c r="D77" s="23"/>
      <c r="E77" s="23"/>
      <c r="F77" s="23" t="s">
        <v>30</v>
      </c>
      <c r="G77" s="23" t="s">
        <v>362</v>
      </c>
      <c r="H77" s="28"/>
      <c r="I77" s="23" t="s">
        <v>363</v>
      </c>
      <c r="J77" s="28" t="s">
        <v>63</v>
      </c>
      <c r="K77" s="29" t="s">
        <v>34</v>
      </c>
      <c r="L77" s="28" t="str">
        <f>IF(J77="Ya/Tidak",IF(K77="Ya",1,IF(K77="Tidak",0,"Blm Diisi")),IF(J77="A/B/C",IF(K77="A",1,IF(K77="B",0.5,IF(K77="C",0,"Blm Diisi"))),IF(J77="A/B/C/D",IF(K77="A",1,IF(K77="B",0.67,IF(K77="C",0.33,IF(K77="D",0,"Blm Diisi")))),IF(J77="A/B/C/D/E",IF(K77="A",1,IF(K77="B",0.75,IF(K77="C",0.5,IF(K77="D",0.25,IF(K77="E",0,"Blm Diisi"))))),IF(J77="%",IF(K77="","Blm Diisi",K77),IF(J77="Jumlah",IF(K77="","Blm Diisi",""),IF(J77="Rupiah",IF(K77="","Blm Diisi",""),IF(J77="","","-"))))))))</f>
        <v>0</v>
      </c>
      <c r="M77" s="28"/>
      <c r="O77" s="30" t="s">
        <v>364</v>
      </c>
      <c r="P77" s="30" t="s">
        <v>365</v>
      </c>
      <c r="Q77" s="35" t="s">
        <v>366</v>
      </c>
      <c r="R77"/>
      <c r="S77" s="36"/>
      <c r="T77" s="28" t="s">
        <v>63</v>
      </c>
      <c r="U77" s="28" t="s">
        <v>34</v>
      </c>
      <c r="V77" s="28" t="str">
        <f>IF(T77="Ya/Tidak",IF(U77="Ya",1,IF(U77="Tidak",0,"Blm Diisi")),IF(T77="A/B/C",IF(U77="A",1,IF(U77="B",0.5,IF(U77="C",0,"Blm Diisi"))),IF(T77="A/B/C/D",IF(U77="A",1,IF(U77="B",0.67,IF(U77="C",0.33,IF(U77="D",0,"Blm Diisi")))),IF(T77="A/B/C/D/E",IF(U77="A",1,IF(U77="B",0.75,IF(U77="C",0.5,IF(U77="D",0.25,IF(U77="E",0,"Blm Diisi"))))),IF(T77="%",IF(U77="","Blm Diisi",U77),IF(T77="Jumlah",IF(U77="","Blm Diisi",""),IF(T77="Rupiah",IF(U77="","Blm Diisi",""),IF(T77="","","-"))))))))</f>
        <v>0</v>
      </c>
      <c r="W77" s="28"/>
      <c r="X77" s="36" t="s">
        <v>367</v>
      </c>
      <c r="Y77"/>
      <c r="Z77"/>
      <c r="AA77" s="36"/>
      <c r="AB77" s="28" t="s">
        <v>63</v>
      </c>
      <c r="AC77" s="28"/>
      <c r="AD77" s="28" t="str">
        <f>IF(AB77="Ya/Tidak",IF(AC77="Ya",1,IF(AC77="Tidak",0,"Blm Diisi")),IF(AB77="A/B/C",IF(AC77="A",1,IF(AC77="B",0.5,IF(AC77="C",0,"Blm Diisi"))),IF(AB77="A/B/C/D",IF(AC77="A",1,IF(AC77="B",0.67,IF(AC77="C",0.33,IF(AC77="D",0,"Blm Diisi")))),IF(AB77="A/B/C/D/E",IF(AC77="A",1,IF(AC77="B",0.75,IF(AC77="C",0.5,IF(AC77="D",0.25,IF(AC77="E",0,"Blm Diisi"))))),IF(AB77="%",IF(AC77="","Blm Diisi",AC77),IF(AB77="Jumlah",IF(AC77="","Blm Diisi",""),IF(AB77="Rupiah",IF(AC77="","Blm Diisi",""),IF(AB77="","","-"))))))))</f>
        <v>0</v>
      </c>
      <c r="AE77" s="28"/>
      <c r="AF77" s="36"/>
      <c r="AG77"/>
      <c r="AH77"/>
      <c r="AI77" s="36"/>
      <c r="AJ77" s="28" t="s">
        <v>63</v>
      </c>
      <c r="AK77" s="28"/>
      <c r="AL77" s="28" t="str">
        <f>IF(AJ77="Ya/Tidak",IF(AK77="Ya",1,IF(AK77="Tidak",0,"Blm Diisi")),IF(AJ77="A/B/C",IF(AK77="A",1,IF(AK77="B",0.5,IF(AK77="C",0,"Blm Diisi"))),IF(AJ77="A/B/C/D",IF(AK77="A",1,IF(AK77="B",0.67,IF(AK77="C",0.33,IF(AK77="D",0,"Blm Diisi")))),IF(AJ77="A/B/C/D/E",IF(AK77="A",1,IF(AK77="B",0.75,IF(AK77="C",0.5,IF(AK77="D",0.25,IF(AK77="E",0,"Blm Diisi"))))),IF(AJ77="%",IF(AK77="","Blm Diisi",AK77),IF(AJ77="Jumlah",IF(AK77="","Blm Diisi",""),IF(AJ77="Rupiah",IF(AK77="","Blm Diisi",""),IF(AJ77="","","-"))))))))</f>
        <v>0</v>
      </c>
      <c r="AM77" s="28"/>
      <c r="AN77" s="36"/>
    </row>
    <row r="78" spans="1:40">
      <c r="B78" s="22"/>
      <c r="C78" s="22"/>
      <c r="D78" s="22"/>
      <c r="E78" s="22" t="s">
        <v>40</v>
      </c>
      <c r="F78" s="22" t="s">
        <v>368</v>
      </c>
      <c r="G78" s="22"/>
      <c r="H78" s="27">
        <v>1.5</v>
      </c>
      <c r="I78" s="22"/>
      <c r="J78" s="27"/>
      <c r="K78" s="27"/>
      <c r="L78" s="27" t="str">
        <f>AVERAGE(L79:L82)*H78</f>
        <v>0</v>
      </c>
      <c r="M78" s="27" t="str">
        <f>L78/H78</f>
        <v>0</v>
      </c>
      <c r="N78" s="1"/>
      <c r="O78" s="22"/>
      <c r="P78" s="22"/>
      <c r="Q78" s="34"/>
      <c r="R78"/>
      <c r="S78" s="36">
        <v>1.5</v>
      </c>
      <c r="T78" s="28"/>
      <c r="U78" s="28"/>
      <c r="V78" s="28" t="str">
        <f>AVERAGE(V79:V82)*S78</f>
        <v>0</v>
      </c>
      <c r="W78" s="28" t="str">
        <f>V78/S78</f>
        <v>0</v>
      </c>
      <c r="X78" s="36"/>
      <c r="Y78"/>
      <c r="Z78"/>
      <c r="AA78" s="36">
        <v>1.5</v>
      </c>
      <c r="AB78" s="28"/>
      <c r="AC78" s="28"/>
      <c r="AD78" s="28" t="str">
        <f>AVERAGE(AD79:AD82)*AA78</f>
        <v>0</v>
      </c>
      <c r="AE78" s="28" t="str">
        <f>AD78/AA78</f>
        <v>0</v>
      </c>
      <c r="AF78" s="36"/>
      <c r="AG78"/>
      <c r="AH78"/>
      <c r="AI78" s="36">
        <v>1.5</v>
      </c>
      <c r="AJ78" s="28"/>
      <c r="AK78" s="28"/>
      <c r="AL78" s="28" t="str">
        <f>AVERAGE(AL79:AL82)*AI78</f>
        <v>0</v>
      </c>
      <c r="AM78" s="28" t="str">
        <f>AL78/AI78</f>
        <v>0</v>
      </c>
      <c r="AN78" s="36"/>
    </row>
    <row r="79" spans="1:40">
      <c r="A79" t="s">
        <v>20</v>
      </c>
      <c r="B79" s="23"/>
      <c r="C79" s="23"/>
      <c r="D79" s="23"/>
      <c r="E79" s="23"/>
      <c r="F79" s="23" t="s">
        <v>21</v>
      </c>
      <c r="G79" s="23" t="s">
        <v>369</v>
      </c>
      <c r="H79" s="28"/>
      <c r="I79" s="23" t="s">
        <v>370</v>
      </c>
      <c r="J79" s="28" t="s">
        <v>116</v>
      </c>
      <c r="K79" s="29" t="s">
        <v>34</v>
      </c>
      <c r="L79" s="28" t="str">
        <f>IF(J79="Ya/Tidak",IF(K79="Ya",1,IF(K79="Tidak",0,"Blm Diisi")),IF(J79="A/B/C",IF(K79="A",1,IF(K79="B",0.5,IF(K79="C",0,"Blm Diisi"))),IF(J79="A/B/C/D",IF(K79="A",1,IF(K79="B",0.67,IF(K79="C",0.33,IF(K79="D",0,"Blm Diisi")))),IF(J79="A/B/C/D/E",IF(K79="A",1,IF(K79="B",0.75,IF(K79="C",0.5,IF(K79="D",0.25,IF(K79="E",0,"Blm Diisi"))))),IF(J79="%",IF(K79="","Blm Diisi",K79),IF(J79="Jumlah",IF(K79="","Blm Diisi",""),IF(J79="Rupiah",IF(K79="","Blm Diisi",""),IF(J79="","","-"))))))))</f>
        <v>0</v>
      </c>
      <c r="M79" s="28"/>
      <c r="O79" s="30"/>
      <c r="P79" s="30" t="s">
        <v>371</v>
      </c>
      <c r="Q79" s="35" t="s">
        <v>372</v>
      </c>
      <c r="R79"/>
      <c r="S79" s="36"/>
      <c r="T79" s="28" t="s">
        <v>116</v>
      </c>
      <c r="U79" s="28" t="s">
        <v>34</v>
      </c>
      <c r="V79" s="28" t="str">
        <f>IF(T79="Ya/Tidak",IF(U79="Ya",1,IF(U79="Tidak",0,"Blm Diisi")),IF(T79="A/B/C",IF(U79="A",1,IF(U79="B",0.5,IF(U79="C",0,"Blm Diisi"))),IF(T79="A/B/C/D",IF(U79="A",1,IF(U79="B",0.67,IF(U79="C",0.33,IF(U79="D",0,"Blm Diisi")))),IF(T79="A/B/C/D/E",IF(U79="A",1,IF(U79="B",0.75,IF(U79="C",0.5,IF(U79="D",0.25,IF(U79="E",0,"Blm Diisi"))))),IF(T79="%",IF(U79="","Blm Diisi",U79),IF(T79="Jumlah",IF(U79="","Blm Diisi",""),IF(T79="Rupiah",IF(U79="","Blm Diisi",""),IF(T79="","","-"))))))))</f>
        <v>0</v>
      </c>
      <c r="W79" s="28"/>
      <c r="X79" s="36" t="s">
        <v>373</v>
      </c>
      <c r="Y79"/>
      <c r="Z79"/>
      <c r="AA79" s="36"/>
      <c r="AB79" s="28" t="s">
        <v>116</v>
      </c>
      <c r="AC79" s="28"/>
      <c r="AD79" s="28" t="str">
        <f>IF(AB79="Ya/Tidak",IF(AC79="Ya",1,IF(AC79="Tidak",0,"Blm Diisi")),IF(AB79="A/B/C",IF(AC79="A",1,IF(AC79="B",0.5,IF(AC79="C",0,"Blm Diisi"))),IF(AB79="A/B/C/D",IF(AC79="A",1,IF(AC79="B",0.67,IF(AC79="C",0.33,IF(AC79="D",0,"Blm Diisi")))),IF(AB79="A/B/C/D/E",IF(AC79="A",1,IF(AC79="B",0.75,IF(AC79="C",0.5,IF(AC79="D",0.25,IF(AC79="E",0,"Blm Diisi"))))),IF(AB79="%",IF(AC79="","Blm Diisi",AC79),IF(AB79="Jumlah",IF(AC79="","Blm Diisi",""),IF(AB79="Rupiah",IF(AC79="","Blm Diisi",""),IF(AB79="","","-"))))))))</f>
        <v>0</v>
      </c>
      <c r="AE79" s="28"/>
      <c r="AF79" s="36"/>
      <c r="AG79"/>
      <c r="AH79"/>
      <c r="AI79" s="36"/>
      <c r="AJ79" s="28" t="s">
        <v>116</v>
      </c>
      <c r="AK79" s="28"/>
      <c r="AL79" s="28" t="str">
        <f>IF(AJ79="Ya/Tidak",IF(AK79="Ya",1,IF(AK79="Tidak",0,"Blm Diisi")),IF(AJ79="A/B/C",IF(AK79="A",1,IF(AK79="B",0.5,IF(AK79="C",0,"Blm Diisi"))),IF(AJ79="A/B/C/D",IF(AK79="A",1,IF(AK79="B",0.67,IF(AK79="C",0.33,IF(AK79="D",0,"Blm Diisi")))),IF(AJ79="A/B/C/D/E",IF(AK79="A",1,IF(AK79="B",0.75,IF(AK79="C",0.5,IF(AK79="D",0.25,IF(AK79="E",0,"Blm Diisi"))))),IF(AJ79="%",IF(AK79="","Blm Diisi",AK79),IF(AJ79="Jumlah",IF(AK79="","Blm Diisi",""),IF(AJ79="Rupiah",IF(AK79="","Blm Diisi",""),IF(AJ79="","","-"))))))))</f>
        <v>0</v>
      </c>
      <c r="AM79" s="28"/>
      <c r="AN79" s="36"/>
    </row>
    <row r="80" spans="1:40">
      <c r="A80" t="s">
        <v>20</v>
      </c>
      <c r="B80" s="23"/>
      <c r="C80" s="23"/>
      <c r="D80" s="23"/>
      <c r="E80" s="23"/>
      <c r="F80" s="23" t="s">
        <v>30</v>
      </c>
      <c r="G80" s="23" t="s">
        <v>374</v>
      </c>
      <c r="H80" s="28"/>
      <c r="I80" s="23" t="s">
        <v>375</v>
      </c>
      <c r="J80" s="28" t="s">
        <v>116</v>
      </c>
      <c r="K80" s="29" t="s">
        <v>34</v>
      </c>
      <c r="L80" s="28" t="str">
        <f>IF(J80="Ya/Tidak",IF(K80="Ya",1,IF(K80="Tidak",0,"Blm Diisi")),IF(J80="A/B/C",IF(K80="A",1,IF(K80="B",0.5,IF(K80="C",0,"Blm Diisi"))),IF(J80="A/B/C/D",IF(K80="A",1,IF(K80="B",0.67,IF(K80="C",0.33,IF(K80="D",0,"Blm Diisi")))),IF(J80="A/B/C/D/E",IF(K80="A",1,IF(K80="B",0.75,IF(K80="C",0.5,IF(K80="D",0.25,IF(K80="E",0,"Blm Diisi"))))),IF(J80="%",IF(K80="","Blm Diisi",K80),IF(J80="Jumlah",IF(K80="","Blm Diisi",""),IF(J80="Rupiah",IF(K80="","Blm Diisi",""),IF(J80="","","-"))))))))</f>
        <v>0</v>
      </c>
      <c r="M80" s="28"/>
      <c r="O80" s="30"/>
      <c r="P80" s="30" t="s">
        <v>376</v>
      </c>
      <c r="Q80" s="35" t="s">
        <v>377</v>
      </c>
      <c r="R80"/>
      <c r="S80" s="36"/>
      <c r="T80" s="28" t="s">
        <v>116</v>
      </c>
      <c r="U80" s="28" t="s">
        <v>50</v>
      </c>
      <c r="V80" s="28" t="str">
        <f>IF(T80="Ya/Tidak",IF(U80="Ya",1,IF(U80="Tidak",0,"Blm Diisi")),IF(T80="A/B/C",IF(U80="A",1,IF(U80="B",0.5,IF(U80="C",0,"Blm Diisi"))),IF(T80="A/B/C/D",IF(U80="A",1,IF(U80="B",0.67,IF(U80="C",0.33,IF(U80="D",0,"Blm Diisi")))),IF(T80="A/B/C/D/E",IF(U80="A",1,IF(U80="B",0.75,IF(U80="C",0.5,IF(U80="D",0.25,IF(U80="E",0,"Blm Diisi"))))),IF(T80="%",IF(U80="","Blm Diisi",U80),IF(T80="Jumlah",IF(U80="","Blm Diisi",""),IF(T80="Rupiah",IF(U80="","Blm Diisi",""),IF(T80="","","-"))))))))</f>
        <v>0</v>
      </c>
      <c r="W80" s="28"/>
      <c r="X80" s="36" t="s">
        <v>378</v>
      </c>
      <c r="Y80"/>
      <c r="Z80"/>
      <c r="AA80" s="36"/>
      <c r="AB80" s="28" t="s">
        <v>116</v>
      </c>
      <c r="AC80" s="28"/>
      <c r="AD80" s="28" t="str">
        <f>IF(AB80="Ya/Tidak",IF(AC80="Ya",1,IF(AC80="Tidak",0,"Blm Diisi")),IF(AB80="A/B/C",IF(AC80="A",1,IF(AC80="B",0.5,IF(AC80="C",0,"Blm Diisi"))),IF(AB80="A/B/C/D",IF(AC80="A",1,IF(AC80="B",0.67,IF(AC80="C",0.33,IF(AC80="D",0,"Blm Diisi")))),IF(AB80="A/B/C/D/E",IF(AC80="A",1,IF(AC80="B",0.75,IF(AC80="C",0.5,IF(AC80="D",0.25,IF(AC80="E",0,"Blm Diisi"))))),IF(AB80="%",IF(AC80="","Blm Diisi",AC80),IF(AB80="Jumlah",IF(AC80="","Blm Diisi",""),IF(AB80="Rupiah",IF(AC80="","Blm Diisi",""),IF(AB80="","","-"))))))))</f>
        <v>0</v>
      </c>
      <c r="AE80" s="28"/>
      <c r="AF80" s="36"/>
      <c r="AG80"/>
      <c r="AH80"/>
      <c r="AI80" s="36"/>
      <c r="AJ80" s="28" t="s">
        <v>116</v>
      </c>
      <c r="AK80" s="28"/>
      <c r="AL80" s="28" t="str">
        <f>IF(AJ80="Ya/Tidak",IF(AK80="Ya",1,IF(AK80="Tidak",0,"Blm Diisi")),IF(AJ80="A/B/C",IF(AK80="A",1,IF(AK80="B",0.5,IF(AK80="C",0,"Blm Diisi"))),IF(AJ80="A/B/C/D",IF(AK80="A",1,IF(AK80="B",0.67,IF(AK80="C",0.33,IF(AK80="D",0,"Blm Diisi")))),IF(AJ80="A/B/C/D/E",IF(AK80="A",1,IF(AK80="B",0.75,IF(AK80="C",0.5,IF(AK80="D",0.25,IF(AK80="E",0,"Blm Diisi"))))),IF(AJ80="%",IF(AK80="","Blm Diisi",AK80),IF(AJ80="Jumlah",IF(AK80="","Blm Diisi",""),IF(AJ80="Rupiah",IF(AK80="","Blm Diisi",""),IF(AJ80="","","-"))))))))</f>
        <v>0</v>
      </c>
      <c r="AM80" s="28"/>
      <c r="AN80" s="36"/>
    </row>
    <row r="81" spans="1:40">
      <c r="A81" t="s">
        <v>20</v>
      </c>
      <c r="B81" s="23"/>
      <c r="C81" s="23"/>
      <c r="D81" s="23"/>
      <c r="E81" s="23"/>
      <c r="F81" s="23" t="s">
        <v>52</v>
      </c>
      <c r="G81" s="23" t="s">
        <v>379</v>
      </c>
      <c r="H81" s="28"/>
      <c r="I81" s="23" t="s">
        <v>380</v>
      </c>
      <c r="J81" s="28" t="s">
        <v>33</v>
      </c>
      <c r="K81" s="29" t="s">
        <v>34</v>
      </c>
      <c r="L81" s="28" t="str">
        <f>IF(J81="Ya/Tidak",IF(K81="Ya",1,IF(K81="Tidak",0,"Blm Diisi")),IF(J81="A/B/C",IF(K81="A",1,IF(K81="B",0.5,IF(K81="C",0,"Blm Diisi"))),IF(J81="A/B/C/D",IF(K81="A",1,IF(K81="B",0.67,IF(K81="C",0.33,IF(K81="D",0,"Blm Diisi")))),IF(J81="A/B/C/D/E",IF(K81="A",1,IF(K81="B",0.75,IF(K81="C",0.5,IF(K81="D",0.25,IF(K81="E",0,"Blm Diisi"))))),IF(J81="%",IF(K81="","Blm Diisi",K81),IF(J81="Jumlah",IF(K81="","Blm Diisi",""),IF(J81="Rupiah",IF(K81="","Blm Diisi",""),IF(J81="","","-"))))))))</f>
        <v>0</v>
      </c>
      <c r="M81" s="28"/>
      <c r="O81" s="30"/>
      <c r="P81" s="30" t="s">
        <v>381</v>
      </c>
      <c r="Q81" s="35" t="s">
        <v>382</v>
      </c>
      <c r="R81"/>
      <c r="S81" s="36"/>
      <c r="T81" s="28" t="s">
        <v>33</v>
      </c>
      <c r="U81" s="28" t="s">
        <v>38</v>
      </c>
      <c r="V81" s="28" t="str">
        <f>IF(T81="Ya/Tidak",IF(U81="Ya",1,IF(U81="Tidak",0,"Blm Diisi")),IF(T81="A/B/C",IF(U81="A",1,IF(U81="B",0.5,IF(U81="C",0,"Blm Diisi"))),IF(T81="A/B/C/D",IF(U81="A",1,IF(U81="B",0.67,IF(U81="C",0.33,IF(U81="D",0,"Blm Diisi")))),IF(T81="A/B/C/D/E",IF(U81="A",1,IF(U81="B",0.75,IF(U81="C",0.5,IF(U81="D",0.25,IF(U81="E",0,"Blm Diisi"))))),IF(T81="%",IF(U81="","Blm Diisi",U81),IF(T81="Jumlah",IF(U81="","Blm Diisi",""),IF(T81="Rupiah",IF(U81="","Blm Diisi",""),IF(T81="","","-"))))))))</f>
        <v>0</v>
      </c>
      <c r="W81" s="28"/>
      <c r="X81" s="36" t="s">
        <v>383</v>
      </c>
      <c r="Y81"/>
      <c r="Z81"/>
      <c r="AA81" s="36"/>
      <c r="AB81" s="28" t="s">
        <v>33</v>
      </c>
      <c r="AC81" s="28"/>
      <c r="AD81" s="28" t="str">
        <f>IF(AB81="Ya/Tidak",IF(AC81="Ya",1,IF(AC81="Tidak",0,"Blm Diisi")),IF(AB81="A/B/C",IF(AC81="A",1,IF(AC81="B",0.5,IF(AC81="C",0,"Blm Diisi"))),IF(AB81="A/B/C/D",IF(AC81="A",1,IF(AC81="B",0.67,IF(AC81="C",0.33,IF(AC81="D",0,"Blm Diisi")))),IF(AB81="A/B/C/D/E",IF(AC81="A",1,IF(AC81="B",0.75,IF(AC81="C",0.5,IF(AC81="D",0.25,IF(AC81="E",0,"Blm Diisi"))))),IF(AB81="%",IF(AC81="","Blm Diisi",AC81),IF(AB81="Jumlah",IF(AC81="","Blm Diisi",""),IF(AB81="Rupiah",IF(AC81="","Blm Diisi",""),IF(AB81="","","-"))))))))</f>
        <v>0</v>
      </c>
      <c r="AE81" s="28"/>
      <c r="AF81" s="36"/>
      <c r="AG81"/>
      <c r="AH81"/>
      <c r="AI81" s="36"/>
      <c r="AJ81" s="28" t="s">
        <v>33</v>
      </c>
      <c r="AK81" s="28"/>
      <c r="AL81" s="28" t="str">
        <f>IF(AJ81="Ya/Tidak",IF(AK81="Ya",1,IF(AK81="Tidak",0,"Blm Diisi")),IF(AJ81="A/B/C",IF(AK81="A",1,IF(AK81="B",0.5,IF(AK81="C",0,"Blm Diisi"))),IF(AJ81="A/B/C/D",IF(AK81="A",1,IF(AK81="B",0.67,IF(AK81="C",0.33,IF(AK81="D",0,"Blm Diisi")))),IF(AJ81="A/B/C/D/E",IF(AK81="A",1,IF(AK81="B",0.75,IF(AK81="C",0.5,IF(AK81="D",0.25,IF(AK81="E",0,"Blm Diisi"))))),IF(AJ81="%",IF(AK81="","Blm Diisi",AK81),IF(AJ81="Jumlah",IF(AK81="","Blm Diisi",""),IF(AJ81="Rupiah",IF(AK81="","Blm Diisi",""),IF(AJ81="","","-"))))))))</f>
        <v>0</v>
      </c>
      <c r="AM81" s="28"/>
      <c r="AN81" s="36"/>
    </row>
    <row r="82" spans="1:40">
      <c r="A82" t="s">
        <v>20</v>
      </c>
      <c r="B82" s="23"/>
      <c r="C82" s="23"/>
      <c r="D82" s="23"/>
      <c r="E82" s="23"/>
      <c r="F82" s="23" t="s">
        <v>99</v>
      </c>
      <c r="G82" s="23" t="s">
        <v>384</v>
      </c>
      <c r="H82" s="28"/>
      <c r="I82" s="23" t="s">
        <v>385</v>
      </c>
      <c r="J82" s="28" t="s">
        <v>33</v>
      </c>
      <c r="K82" s="29" t="s">
        <v>34</v>
      </c>
      <c r="L82" s="28" t="str">
        <f>IF(J82="Ya/Tidak",IF(K82="Ya",1,IF(K82="Tidak",0,"Blm Diisi")),IF(J82="A/B/C",IF(K82="A",1,IF(K82="B",0.5,IF(K82="C",0,"Blm Diisi"))),IF(J82="A/B/C/D",IF(K82="A",1,IF(K82="B",0.67,IF(K82="C",0.33,IF(K82="D",0,"Blm Diisi")))),IF(J82="A/B/C/D/E",IF(K82="A",1,IF(K82="B",0.75,IF(K82="C",0.5,IF(K82="D",0.25,IF(K82="E",0,"Blm Diisi"))))),IF(J82="%",IF(K82="","Blm Diisi",K82),IF(J82="Jumlah",IF(K82="","Blm Diisi",""),IF(J82="Rupiah",IF(K82="","Blm Diisi",""),IF(J82="","","-"))))))))</f>
        <v>0</v>
      </c>
      <c r="M82" s="28"/>
      <c r="O82" s="30"/>
      <c r="P82" s="30" t="s">
        <v>386</v>
      </c>
      <c r="Q82" s="35" t="s">
        <v>387</v>
      </c>
      <c r="R82"/>
      <c r="S82" s="36"/>
      <c r="T82" s="28" t="s">
        <v>33</v>
      </c>
      <c r="U82" s="28" t="s">
        <v>34</v>
      </c>
      <c r="V82" s="28" t="str">
        <f>IF(T82="Ya/Tidak",IF(U82="Ya",1,IF(U82="Tidak",0,"Blm Diisi")),IF(T82="A/B/C",IF(U82="A",1,IF(U82="B",0.5,IF(U82="C",0,"Blm Diisi"))),IF(T82="A/B/C/D",IF(U82="A",1,IF(U82="B",0.67,IF(U82="C",0.33,IF(U82="D",0,"Blm Diisi")))),IF(T82="A/B/C/D/E",IF(U82="A",1,IF(U82="B",0.75,IF(U82="C",0.5,IF(U82="D",0.25,IF(U82="E",0,"Blm Diisi"))))),IF(T82="%",IF(U82="","Blm Diisi",U82),IF(T82="Jumlah",IF(U82="","Blm Diisi",""),IF(T82="Rupiah",IF(U82="","Blm Diisi",""),IF(T82="","","-"))))))))</f>
        <v>0</v>
      </c>
      <c r="W82" s="28"/>
      <c r="X82" s="36" t="s">
        <v>388</v>
      </c>
      <c r="Y82"/>
      <c r="Z82"/>
      <c r="AA82" s="36"/>
      <c r="AB82" s="28" t="s">
        <v>33</v>
      </c>
      <c r="AC82" s="28"/>
      <c r="AD82" s="28" t="str">
        <f>IF(AB82="Ya/Tidak",IF(AC82="Ya",1,IF(AC82="Tidak",0,"Blm Diisi")),IF(AB82="A/B/C",IF(AC82="A",1,IF(AC82="B",0.5,IF(AC82="C",0,"Blm Diisi"))),IF(AB82="A/B/C/D",IF(AC82="A",1,IF(AC82="B",0.67,IF(AC82="C",0.33,IF(AC82="D",0,"Blm Diisi")))),IF(AB82="A/B/C/D/E",IF(AC82="A",1,IF(AC82="B",0.75,IF(AC82="C",0.5,IF(AC82="D",0.25,IF(AC82="E",0,"Blm Diisi"))))),IF(AB82="%",IF(AC82="","Blm Diisi",AC82),IF(AB82="Jumlah",IF(AC82="","Blm Diisi",""),IF(AB82="Rupiah",IF(AC82="","Blm Diisi",""),IF(AB82="","","-"))))))))</f>
        <v>0</v>
      </c>
      <c r="AE82" s="28"/>
      <c r="AF82" s="36"/>
      <c r="AG82"/>
      <c r="AH82"/>
      <c r="AI82" s="36"/>
      <c r="AJ82" s="28" t="s">
        <v>33</v>
      </c>
      <c r="AK82" s="28"/>
      <c r="AL82" s="28" t="str">
        <f>IF(AJ82="Ya/Tidak",IF(AK82="Ya",1,IF(AK82="Tidak",0,"Blm Diisi")),IF(AJ82="A/B/C",IF(AK82="A",1,IF(AK82="B",0.5,IF(AK82="C",0,"Blm Diisi"))),IF(AJ82="A/B/C/D",IF(AK82="A",1,IF(AK82="B",0.67,IF(AK82="C",0.33,IF(AK82="D",0,"Blm Diisi")))),IF(AJ82="A/B/C/D/E",IF(AK82="A",1,IF(AK82="B",0.75,IF(AK82="C",0.5,IF(AK82="D",0.25,IF(AK82="E",0,"Blm Diisi"))))),IF(AJ82="%",IF(AK82="","Blm Diisi",AK82),IF(AJ82="Jumlah",IF(AK82="","Blm Diisi",""),IF(AJ82="Rupiah",IF(AK82="","Blm Diisi",""),IF(AJ82="","","-"))))))))</f>
        <v>0</v>
      </c>
      <c r="AM82" s="28"/>
      <c r="AN82" s="36"/>
    </row>
    <row r="83" spans="1:40">
      <c r="B83" s="22"/>
      <c r="C83" s="22"/>
      <c r="D83" s="22"/>
      <c r="E83" s="22" t="s">
        <v>59</v>
      </c>
      <c r="F83" s="22" t="s">
        <v>389</v>
      </c>
      <c r="G83" s="22"/>
      <c r="H83" s="27">
        <v>1.5</v>
      </c>
      <c r="I83" s="22"/>
      <c r="J83" s="27"/>
      <c r="K83" s="27"/>
      <c r="L83" s="27" t="str">
        <f>AVERAGE(L84:L87)*H83</f>
        <v>0</v>
      </c>
      <c r="M83" s="27" t="str">
        <f>L83/H83</f>
        <v>0</v>
      </c>
      <c r="N83" s="1"/>
      <c r="O83" s="22"/>
      <c r="P83" s="22"/>
      <c r="Q83" s="34"/>
      <c r="R83"/>
      <c r="S83" s="36">
        <v>1.5</v>
      </c>
      <c r="T83" s="28"/>
      <c r="U83" s="28"/>
      <c r="V83" s="28" t="str">
        <f>AVERAGE(V84:V87)*S83</f>
        <v>0</v>
      </c>
      <c r="W83" s="28" t="str">
        <f>V83/S83</f>
        <v>0</v>
      </c>
      <c r="X83" s="36"/>
      <c r="Y83"/>
      <c r="Z83"/>
      <c r="AA83" s="36">
        <v>1.5</v>
      </c>
      <c r="AB83" s="28"/>
      <c r="AC83" s="28"/>
      <c r="AD83" s="28" t="str">
        <f>AVERAGE(AD84:AD87)*AA83</f>
        <v>0</v>
      </c>
      <c r="AE83" s="28" t="str">
        <f>AD83/AA83</f>
        <v>0</v>
      </c>
      <c r="AF83" s="36"/>
      <c r="AG83"/>
      <c r="AH83"/>
      <c r="AI83" s="36">
        <v>1.5</v>
      </c>
      <c r="AJ83" s="28"/>
      <c r="AK83" s="28"/>
      <c r="AL83" s="28" t="str">
        <f>AVERAGE(AL84:AL87)*AI83</f>
        <v>0</v>
      </c>
      <c r="AM83" s="28" t="str">
        <f>AL83/AI83</f>
        <v>0</v>
      </c>
      <c r="AN83" s="36"/>
    </row>
    <row r="84" spans="1:40">
      <c r="A84" t="s">
        <v>20</v>
      </c>
      <c r="B84" s="23"/>
      <c r="C84" s="23"/>
      <c r="D84" s="23"/>
      <c r="E84" s="23"/>
      <c r="F84" s="23" t="s">
        <v>21</v>
      </c>
      <c r="G84" s="23" t="s">
        <v>390</v>
      </c>
      <c r="H84" s="28"/>
      <c r="I84" s="23" t="s">
        <v>391</v>
      </c>
      <c r="J84" s="28" t="s">
        <v>33</v>
      </c>
      <c r="K84" s="29" t="s">
        <v>34</v>
      </c>
      <c r="L84" s="28" t="str">
        <f>IF(J84="Ya/Tidak",IF(K84="Ya",1,IF(K84="Tidak",0,"Blm Diisi")),IF(J84="A/B/C",IF(K84="A",1,IF(K84="B",0.5,IF(K84="C",0,"Blm Diisi"))),IF(J84="A/B/C/D",IF(K84="A",1,IF(K84="B",0.67,IF(K84="C",0.33,IF(K84="D",0,"Blm Diisi")))),IF(J84="A/B/C/D/E",IF(K84="A",1,IF(K84="B",0.75,IF(K84="C",0.5,IF(K84="D",0.25,IF(K84="E",0,"Blm Diisi"))))),IF(J84="%",IF(K84="","Blm Diisi",K84),IF(J84="Jumlah",IF(K84="","Blm Diisi",""),IF(J84="Rupiah",IF(K84="","Blm Diisi",""),IF(J84="","","-"))))))))</f>
        <v>0</v>
      </c>
      <c r="M84" s="28"/>
      <c r="O84" s="30" t="s">
        <v>392</v>
      </c>
      <c r="P84" s="30" t="s">
        <v>393</v>
      </c>
      <c r="Q84" s="35" t="s">
        <v>394</v>
      </c>
      <c r="R84"/>
      <c r="S84" s="36"/>
      <c r="T84" s="28" t="s">
        <v>33</v>
      </c>
      <c r="U84" s="28" t="s">
        <v>38</v>
      </c>
      <c r="V84" s="28" t="str">
        <f>IF(T84="Ya/Tidak",IF(U84="Ya",1,IF(U84="Tidak",0,"Blm Diisi")),IF(T84="A/B/C",IF(U84="A",1,IF(U84="B",0.5,IF(U84="C",0,"Blm Diisi"))),IF(T84="A/B/C/D",IF(U84="A",1,IF(U84="B",0.67,IF(U84="C",0.33,IF(U84="D",0,"Blm Diisi")))),IF(T84="A/B/C/D/E",IF(U84="A",1,IF(U84="B",0.75,IF(U84="C",0.5,IF(U84="D",0.25,IF(U84="E",0,"Blm Diisi"))))),IF(T84="%",IF(U84="","Blm Diisi",U84),IF(T84="Jumlah",IF(U84="","Blm Diisi",""),IF(T84="Rupiah",IF(U84="","Blm Diisi",""),IF(T84="","","-"))))))))</f>
        <v>0</v>
      </c>
      <c r="W84" s="28"/>
      <c r="X84" s="36" t="s">
        <v>395</v>
      </c>
      <c r="Y84"/>
      <c r="Z84"/>
      <c r="AA84" s="36"/>
      <c r="AB84" s="28" t="s">
        <v>33</v>
      </c>
      <c r="AC84" s="28"/>
      <c r="AD84" s="28" t="str">
        <f>IF(AB84="Ya/Tidak",IF(AC84="Ya",1,IF(AC84="Tidak",0,"Blm Diisi")),IF(AB84="A/B/C",IF(AC84="A",1,IF(AC84="B",0.5,IF(AC84="C",0,"Blm Diisi"))),IF(AB84="A/B/C/D",IF(AC84="A",1,IF(AC84="B",0.67,IF(AC84="C",0.33,IF(AC84="D",0,"Blm Diisi")))),IF(AB84="A/B/C/D/E",IF(AC84="A",1,IF(AC84="B",0.75,IF(AC84="C",0.5,IF(AC84="D",0.25,IF(AC84="E",0,"Blm Diisi"))))),IF(AB84="%",IF(AC84="","Blm Diisi",AC84),IF(AB84="Jumlah",IF(AC84="","Blm Diisi",""),IF(AB84="Rupiah",IF(AC84="","Blm Diisi",""),IF(AB84="","","-"))))))))</f>
        <v>0</v>
      </c>
      <c r="AE84" s="28"/>
      <c r="AF84" s="36"/>
      <c r="AG84"/>
      <c r="AH84"/>
      <c r="AI84" s="36"/>
      <c r="AJ84" s="28" t="s">
        <v>33</v>
      </c>
      <c r="AK84" s="28"/>
      <c r="AL84" s="28" t="str">
        <f>IF(AJ84="Ya/Tidak",IF(AK84="Ya",1,IF(AK84="Tidak",0,"Blm Diisi")),IF(AJ84="A/B/C",IF(AK84="A",1,IF(AK84="B",0.5,IF(AK84="C",0,"Blm Diisi"))),IF(AJ84="A/B/C/D",IF(AK84="A",1,IF(AK84="B",0.67,IF(AK84="C",0.33,IF(AK84="D",0,"Blm Diisi")))),IF(AJ84="A/B/C/D/E",IF(AK84="A",1,IF(AK84="B",0.75,IF(AK84="C",0.5,IF(AK84="D",0.25,IF(AK84="E",0,"Blm Diisi"))))),IF(AJ84="%",IF(AK84="","Blm Diisi",AK84),IF(AJ84="Jumlah",IF(AK84="","Blm Diisi",""),IF(AJ84="Rupiah",IF(AK84="","Blm Diisi",""),IF(AJ84="","","-"))))))))</f>
        <v>0</v>
      </c>
      <c r="AM84" s="28"/>
      <c r="AN84" s="36"/>
    </row>
    <row r="85" spans="1:40">
      <c r="A85" t="s">
        <v>20</v>
      </c>
      <c r="B85" s="23"/>
      <c r="C85" s="23"/>
      <c r="D85" s="23"/>
      <c r="E85" s="23"/>
      <c r="F85" s="23" t="s">
        <v>30</v>
      </c>
      <c r="G85" s="23" t="s">
        <v>396</v>
      </c>
      <c r="H85" s="28"/>
      <c r="I85" s="23" t="s">
        <v>397</v>
      </c>
      <c r="J85" s="28" t="s">
        <v>24</v>
      </c>
      <c r="K85" s="29" t="s">
        <v>25</v>
      </c>
      <c r="L85" s="28" t="str">
        <f>IF(J85="Ya/Tidak",IF(K85="Ya",1,IF(K85="Tidak",0,"Blm Diisi")),IF(J85="A/B/C",IF(K85="A",1,IF(K85="B",0.5,IF(K85="C",0,"Blm Diisi"))),IF(J85="A/B/C/D",IF(K85="A",1,IF(K85="B",0.67,IF(K85="C",0.33,IF(K85="D",0,"Blm Diisi")))),IF(J85="A/B/C/D/E",IF(K85="A",1,IF(K85="B",0.75,IF(K85="C",0.5,IF(K85="D",0.25,IF(K85="E",0,"Blm Diisi"))))),IF(J85="%",IF(K85="","Blm Diisi",K85),IF(J85="Jumlah",IF(K85="","Blm Diisi",""),IF(J85="Rupiah",IF(K85="","Blm Diisi",""),IF(J85="","","-"))))))))</f>
        <v>0</v>
      </c>
      <c r="M85" s="28"/>
      <c r="O85" s="30" t="s">
        <v>398</v>
      </c>
      <c r="P85" s="30" t="s">
        <v>399</v>
      </c>
      <c r="Q85" s="35" t="s">
        <v>400</v>
      </c>
      <c r="R85"/>
      <c r="S85" s="36"/>
      <c r="T85" s="28" t="s">
        <v>24</v>
      </c>
      <c r="U85" s="28" t="s">
        <v>25</v>
      </c>
      <c r="V85" s="28" t="str">
        <f>IF(T85="Ya/Tidak",IF(U85="Ya",1,IF(U85="Tidak",0,"Blm Diisi")),IF(T85="A/B/C",IF(U85="A",1,IF(U85="B",0.5,IF(U85="C",0,"Blm Diisi"))),IF(T85="A/B/C/D",IF(U85="A",1,IF(U85="B",0.67,IF(U85="C",0.33,IF(U85="D",0,"Blm Diisi")))),IF(T85="A/B/C/D/E",IF(U85="A",1,IF(U85="B",0.75,IF(U85="C",0.5,IF(U85="D",0.25,IF(U85="E",0,"Blm Diisi"))))),IF(T85="%",IF(U85="","Blm Diisi",U85),IF(T85="Jumlah",IF(U85="","Blm Diisi",""),IF(T85="Rupiah",IF(U85="","Blm Diisi",""),IF(T85="","","-"))))))))</f>
        <v>0</v>
      </c>
      <c r="W85" s="28"/>
      <c r="X85" s="36" t="s">
        <v>401</v>
      </c>
      <c r="Y85"/>
      <c r="Z85"/>
      <c r="AA85" s="36"/>
      <c r="AB85" s="28" t="s">
        <v>24</v>
      </c>
      <c r="AC85" s="28"/>
      <c r="AD85" s="28" t="str">
        <f>IF(AB85="Ya/Tidak",IF(AC85="Ya",1,IF(AC85="Tidak",0,"Blm Diisi")),IF(AB85="A/B/C",IF(AC85="A",1,IF(AC85="B",0.5,IF(AC85="C",0,"Blm Diisi"))),IF(AB85="A/B/C/D",IF(AC85="A",1,IF(AC85="B",0.67,IF(AC85="C",0.33,IF(AC85="D",0,"Blm Diisi")))),IF(AB85="A/B/C/D/E",IF(AC85="A",1,IF(AC85="B",0.75,IF(AC85="C",0.5,IF(AC85="D",0.25,IF(AC85="E",0,"Blm Diisi"))))),IF(AB85="%",IF(AC85="","Blm Diisi",AC85),IF(AB85="Jumlah",IF(AC85="","Blm Diisi",""),IF(AB85="Rupiah",IF(AC85="","Blm Diisi",""),IF(AB85="","","-"))))))))</f>
        <v>0</v>
      </c>
      <c r="AE85" s="28"/>
      <c r="AF85" s="36"/>
      <c r="AG85"/>
      <c r="AH85"/>
      <c r="AI85" s="36"/>
      <c r="AJ85" s="28" t="s">
        <v>24</v>
      </c>
      <c r="AK85" s="28"/>
      <c r="AL85" s="28" t="str">
        <f>IF(AJ85="Ya/Tidak",IF(AK85="Ya",1,IF(AK85="Tidak",0,"Blm Diisi")),IF(AJ85="A/B/C",IF(AK85="A",1,IF(AK85="B",0.5,IF(AK85="C",0,"Blm Diisi"))),IF(AJ85="A/B/C/D",IF(AK85="A",1,IF(AK85="B",0.67,IF(AK85="C",0.33,IF(AK85="D",0,"Blm Diisi")))),IF(AJ85="A/B/C/D/E",IF(AK85="A",1,IF(AK85="B",0.75,IF(AK85="C",0.5,IF(AK85="D",0.25,IF(AK85="E",0,"Blm Diisi"))))),IF(AJ85="%",IF(AK85="","Blm Diisi",AK85),IF(AJ85="Jumlah",IF(AK85="","Blm Diisi",""),IF(AJ85="Rupiah",IF(AK85="","Blm Diisi",""),IF(AJ85="","","-"))))))))</f>
        <v>0</v>
      </c>
      <c r="AM85" s="28"/>
      <c r="AN85" s="36"/>
    </row>
    <row r="86" spans="1:40">
      <c r="A86" t="s">
        <v>20</v>
      </c>
      <c r="B86" s="23"/>
      <c r="C86" s="23"/>
      <c r="D86" s="23"/>
      <c r="E86" s="23"/>
      <c r="F86" s="23" t="s">
        <v>52</v>
      </c>
      <c r="G86" s="23" t="s">
        <v>402</v>
      </c>
      <c r="H86" s="28"/>
      <c r="I86" s="23" t="s">
        <v>403</v>
      </c>
      <c r="J86" s="28" t="s">
        <v>33</v>
      </c>
      <c r="K86" s="29" t="s">
        <v>34</v>
      </c>
      <c r="L86" s="28" t="str">
        <f>IF(J86="Ya/Tidak",IF(K86="Ya",1,IF(K86="Tidak",0,"Blm Diisi")),IF(J86="A/B/C",IF(K86="A",1,IF(K86="B",0.5,IF(K86="C",0,"Blm Diisi"))),IF(J86="A/B/C/D",IF(K86="A",1,IF(K86="B",0.67,IF(K86="C",0.33,IF(K86="D",0,"Blm Diisi")))),IF(J86="A/B/C/D/E",IF(K86="A",1,IF(K86="B",0.75,IF(K86="C",0.5,IF(K86="D",0.25,IF(K86="E",0,"Blm Diisi"))))),IF(J86="%",IF(K86="","Blm Diisi",K86),IF(J86="Jumlah",IF(K86="","Blm Diisi",""),IF(J86="Rupiah",IF(K86="","Blm Diisi",""),IF(J86="","","-"))))))))</f>
        <v>0</v>
      </c>
      <c r="M86" s="28"/>
      <c r="O86" s="30" t="s">
        <v>404</v>
      </c>
      <c r="P86" s="30" t="s">
        <v>405</v>
      </c>
      <c r="Q86" s="35" t="s">
        <v>406</v>
      </c>
      <c r="R86"/>
      <c r="S86" s="36"/>
      <c r="T86" s="28" t="s">
        <v>33</v>
      </c>
      <c r="U86" s="28" t="s">
        <v>34</v>
      </c>
      <c r="V86" s="28" t="str">
        <f>IF(T86="Ya/Tidak",IF(U86="Ya",1,IF(U86="Tidak",0,"Blm Diisi")),IF(T86="A/B/C",IF(U86="A",1,IF(U86="B",0.5,IF(U86="C",0,"Blm Diisi"))),IF(T86="A/B/C/D",IF(U86="A",1,IF(U86="B",0.67,IF(U86="C",0.33,IF(U86="D",0,"Blm Diisi")))),IF(T86="A/B/C/D/E",IF(U86="A",1,IF(U86="B",0.75,IF(U86="C",0.5,IF(U86="D",0.25,IF(U86="E",0,"Blm Diisi"))))),IF(T86="%",IF(U86="","Blm Diisi",U86),IF(T86="Jumlah",IF(U86="","Blm Diisi",""),IF(T86="Rupiah",IF(U86="","Blm Diisi",""),IF(T86="","","-"))))))))</f>
        <v>0</v>
      </c>
      <c r="W86" s="28"/>
      <c r="X86" s="36" t="s">
        <v>407</v>
      </c>
      <c r="Y86"/>
      <c r="Z86"/>
      <c r="AA86" s="36"/>
      <c r="AB86" s="28" t="s">
        <v>33</v>
      </c>
      <c r="AC86" s="28"/>
      <c r="AD86" s="28" t="str">
        <f>IF(AB86="Ya/Tidak",IF(AC86="Ya",1,IF(AC86="Tidak",0,"Blm Diisi")),IF(AB86="A/B/C",IF(AC86="A",1,IF(AC86="B",0.5,IF(AC86="C",0,"Blm Diisi"))),IF(AB86="A/B/C/D",IF(AC86="A",1,IF(AC86="B",0.67,IF(AC86="C",0.33,IF(AC86="D",0,"Blm Diisi")))),IF(AB86="A/B/C/D/E",IF(AC86="A",1,IF(AC86="B",0.75,IF(AC86="C",0.5,IF(AC86="D",0.25,IF(AC86="E",0,"Blm Diisi"))))),IF(AB86="%",IF(AC86="","Blm Diisi",AC86),IF(AB86="Jumlah",IF(AC86="","Blm Diisi",""),IF(AB86="Rupiah",IF(AC86="","Blm Diisi",""),IF(AB86="","","-"))))))))</f>
        <v>0</v>
      </c>
      <c r="AE86" s="28"/>
      <c r="AF86" s="36"/>
      <c r="AG86"/>
      <c r="AH86"/>
      <c r="AI86" s="36"/>
      <c r="AJ86" s="28" t="s">
        <v>33</v>
      </c>
      <c r="AK86" s="28"/>
      <c r="AL86" s="28" t="str">
        <f>IF(AJ86="Ya/Tidak",IF(AK86="Ya",1,IF(AK86="Tidak",0,"Blm Diisi")),IF(AJ86="A/B/C",IF(AK86="A",1,IF(AK86="B",0.5,IF(AK86="C",0,"Blm Diisi"))),IF(AJ86="A/B/C/D",IF(AK86="A",1,IF(AK86="B",0.67,IF(AK86="C",0.33,IF(AK86="D",0,"Blm Diisi")))),IF(AJ86="A/B/C/D/E",IF(AK86="A",1,IF(AK86="B",0.75,IF(AK86="C",0.5,IF(AK86="D",0.25,IF(AK86="E",0,"Blm Diisi"))))),IF(AJ86="%",IF(AK86="","Blm Diisi",AK86),IF(AJ86="Jumlah",IF(AK86="","Blm Diisi",""),IF(AJ86="Rupiah",IF(AK86="","Blm Diisi",""),IF(AJ86="","","-"))))))))</f>
        <v>0</v>
      </c>
      <c r="AM86" s="28"/>
      <c r="AN86" s="36"/>
    </row>
    <row r="87" spans="1:40">
      <c r="A87" t="s">
        <v>20</v>
      </c>
      <c r="B87" s="23"/>
      <c r="C87" s="23"/>
      <c r="D87" s="23"/>
      <c r="E87" s="23"/>
      <c r="F87" s="23" t="s">
        <v>99</v>
      </c>
      <c r="G87" s="23" t="s">
        <v>408</v>
      </c>
      <c r="H87" s="28"/>
      <c r="I87" s="23" t="s">
        <v>409</v>
      </c>
      <c r="J87" s="28" t="s">
        <v>33</v>
      </c>
      <c r="K87" s="29" t="s">
        <v>34</v>
      </c>
      <c r="L87" s="28" t="str">
        <f>IF(J87="Ya/Tidak",IF(K87="Ya",1,IF(K87="Tidak",0,"Blm Diisi")),IF(J87="A/B/C",IF(K87="A",1,IF(K87="B",0.5,IF(K87="C",0,"Blm Diisi"))),IF(J87="A/B/C/D",IF(K87="A",1,IF(K87="B",0.67,IF(K87="C",0.33,IF(K87="D",0,"Blm Diisi")))),IF(J87="A/B/C/D/E",IF(K87="A",1,IF(K87="B",0.75,IF(K87="C",0.5,IF(K87="D",0.25,IF(K87="E",0,"Blm Diisi"))))),IF(J87="%",IF(K87="","Blm Diisi",K87),IF(J87="Jumlah",IF(K87="","Blm Diisi",""),IF(J87="Rupiah",IF(K87="","Blm Diisi",""),IF(J87="","","-"))))))))</f>
        <v>0</v>
      </c>
      <c r="M87" s="28"/>
      <c r="O87" s="30" t="s">
        <v>410</v>
      </c>
      <c r="P87" s="30" t="s">
        <v>411</v>
      </c>
      <c r="Q87" s="35" t="s">
        <v>412</v>
      </c>
      <c r="R87"/>
      <c r="S87" s="36"/>
      <c r="T87" s="28" t="s">
        <v>33</v>
      </c>
      <c r="U87" s="28" t="s">
        <v>34</v>
      </c>
      <c r="V87" s="28" t="str">
        <f>IF(T87="Ya/Tidak",IF(U87="Ya",1,IF(U87="Tidak",0,"Blm Diisi")),IF(T87="A/B/C",IF(U87="A",1,IF(U87="B",0.5,IF(U87="C",0,"Blm Diisi"))),IF(T87="A/B/C/D",IF(U87="A",1,IF(U87="B",0.67,IF(U87="C",0.33,IF(U87="D",0,"Blm Diisi")))),IF(T87="A/B/C/D/E",IF(U87="A",1,IF(U87="B",0.75,IF(U87="C",0.5,IF(U87="D",0.25,IF(U87="E",0,"Blm Diisi"))))),IF(T87="%",IF(U87="","Blm Diisi",U87),IF(T87="Jumlah",IF(U87="","Blm Diisi",""),IF(T87="Rupiah",IF(U87="","Blm Diisi",""),IF(T87="","","-"))))))))</f>
        <v>0</v>
      </c>
      <c r="W87" s="28"/>
      <c r="X87" s="36" t="s">
        <v>413</v>
      </c>
      <c r="Y87"/>
      <c r="Z87"/>
      <c r="AA87" s="36"/>
      <c r="AB87" s="28" t="s">
        <v>33</v>
      </c>
      <c r="AC87" s="28"/>
      <c r="AD87" s="28" t="str">
        <f>IF(AB87="Ya/Tidak",IF(AC87="Ya",1,IF(AC87="Tidak",0,"Blm Diisi")),IF(AB87="A/B/C",IF(AC87="A",1,IF(AC87="B",0.5,IF(AC87="C",0,"Blm Diisi"))),IF(AB87="A/B/C/D",IF(AC87="A",1,IF(AC87="B",0.67,IF(AC87="C",0.33,IF(AC87="D",0,"Blm Diisi")))),IF(AB87="A/B/C/D/E",IF(AC87="A",1,IF(AC87="B",0.75,IF(AC87="C",0.5,IF(AC87="D",0.25,IF(AC87="E",0,"Blm Diisi"))))),IF(AB87="%",IF(AC87="","Blm Diisi",AC87),IF(AB87="Jumlah",IF(AC87="","Blm Diisi",""),IF(AB87="Rupiah",IF(AC87="","Blm Diisi",""),IF(AB87="","","-"))))))))</f>
        <v>0</v>
      </c>
      <c r="AE87" s="28"/>
      <c r="AF87" s="36"/>
      <c r="AG87"/>
      <c r="AH87"/>
      <c r="AI87" s="36"/>
      <c r="AJ87" s="28" t="s">
        <v>33</v>
      </c>
      <c r="AK87" s="28"/>
      <c r="AL87" s="28" t="str">
        <f>IF(AJ87="Ya/Tidak",IF(AK87="Ya",1,IF(AK87="Tidak",0,"Blm Diisi")),IF(AJ87="A/B/C",IF(AK87="A",1,IF(AK87="B",0.5,IF(AK87="C",0,"Blm Diisi"))),IF(AJ87="A/B/C/D",IF(AK87="A",1,IF(AK87="B",0.67,IF(AK87="C",0.33,IF(AK87="D",0,"Blm Diisi")))),IF(AJ87="A/B/C/D/E",IF(AK87="A",1,IF(AK87="B",0.75,IF(AK87="C",0.5,IF(AK87="D",0.25,IF(AK87="E",0,"Blm Diisi"))))),IF(AJ87="%",IF(AK87="","Blm Diisi",AK87),IF(AJ87="Jumlah",IF(AK87="","Blm Diisi",""),IF(AJ87="Rupiah",IF(AK87="","Blm Diisi",""),IF(AJ87="","","-"))))))))</f>
        <v>0</v>
      </c>
      <c r="AM87" s="28"/>
      <c r="AN87" s="36"/>
    </row>
    <row r="88" spans="1:40">
      <c r="B88" s="22"/>
      <c r="C88" s="22"/>
      <c r="D88" s="22"/>
      <c r="E88" s="22" t="s">
        <v>80</v>
      </c>
      <c r="F88" s="22" t="s">
        <v>414</v>
      </c>
      <c r="G88" s="22"/>
      <c r="H88" s="27">
        <v>1.5</v>
      </c>
      <c r="I88" s="22"/>
      <c r="J88" s="27"/>
      <c r="K88" s="27"/>
      <c r="L88" s="27" t="str">
        <f>AVERAGE(L89:L92)*H88</f>
        <v>0</v>
      </c>
      <c r="M88" s="27" t="str">
        <f>L88/H88</f>
        <v>0</v>
      </c>
      <c r="N88" s="1"/>
      <c r="O88" s="22"/>
      <c r="P88" s="22"/>
      <c r="Q88" s="34"/>
      <c r="R88"/>
      <c r="S88" s="36">
        <v>1.5</v>
      </c>
      <c r="T88" s="28"/>
      <c r="U88" s="28"/>
      <c r="V88" s="28" t="str">
        <f>AVERAGE(V89:V92)*S88</f>
        <v>0</v>
      </c>
      <c r="W88" s="28" t="str">
        <f>V88/S88</f>
        <v>0</v>
      </c>
      <c r="X88" s="36"/>
      <c r="Y88"/>
      <c r="Z88"/>
      <c r="AA88" s="36">
        <v>1.5</v>
      </c>
      <c r="AB88" s="28"/>
      <c r="AC88" s="28"/>
      <c r="AD88" s="28" t="str">
        <f>AVERAGE(AD89:AD92)*AA88</f>
        <v>0</v>
      </c>
      <c r="AE88" s="28" t="str">
        <f>AD88/AA88</f>
        <v>0</v>
      </c>
      <c r="AF88" s="36"/>
      <c r="AG88"/>
      <c r="AH88"/>
      <c r="AI88" s="36">
        <v>1.5</v>
      </c>
      <c r="AJ88" s="28"/>
      <c r="AK88" s="28"/>
      <c r="AL88" s="28" t="str">
        <f>AVERAGE(AL89:AL92)*AI88</f>
        <v>0</v>
      </c>
      <c r="AM88" s="28" t="str">
        <f>AL88/AI88</f>
        <v>0</v>
      </c>
      <c r="AN88" s="36"/>
    </row>
    <row r="89" spans="1:40">
      <c r="B89" s="23"/>
      <c r="C89" s="23"/>
      <c r="D89" s="23"/>
      <c r="E89" s="23"/>
      <c r="F89" s="23"/>
      <c r="G89" s="23"/>
      <c r="H89" s="28"/>
      <c r="I89" s="23"/>
      <c r="J89" s="28"/>
      <c r="K89" s="29"/>
      <c r="L89" s="28" t="str">
        <f>IF(J89="Ya/Tidak",IF(K89="Ya",1,IF(K89="Tidak",0,"Blm Diisi")),IF(J89="A/B/C",IF(K89="A",1,IF(K89="B",0.5,IF(K89="C",0,"Blm Diisi"))),IF(J89="A/B/C/D",IF(K89="A",1,IF(K89="B",0.67,IF(K89="C",0.33,IF(K89="D",0,"Blm Diisi")))),IF(J89="A/B/C/D/E",IF(K89="A",1,IF(K89="B",0.75,IF(K89="C",0.5,IF(K89="D",0.25,IF(K89="E",0,"Blm Diisi"))))),IF(J89="%",IF(K89="","Blm Diisi",K89),IF(J89="Jumlah",IF(K89="","Blm Diisi",""),IF(J89="Rupiah",IF(K89="","Blm Diisi",""),IF(J89="","","-"))))))))</f>
        <v>0</v>
      </c>
      <c r="M89" s="28"/>
      <c r="O89" s="30"/>
      <c r="P89" s="30"/>
      <c r="Q89" s="35"/>
      <c r="R89"/>
      <c r="S89" s="36"/>
      <c r="T89" s="28"/>
      <c r="U89" s="28"/>
      <c r="V89" s="28" t="str">
        <f>IF(T89="Ya/Tidak",IF(U89="Ya",1,IF(U89="Tidak",0,"Blm Diisi")),IF(T89="A/B/C",IF(U89="A",1,IF(U89="B",0.5,IF(U89="C",0,"Blm Diisi"))),IF(T89="A/B/C/D",IF(U89="A",1,IF(U89="B",0.67,IF(U89="C",0.33,IF(U89="D",0,"Blm Diisi")))),IF(T89="A/B/C/D/E",IF(U89="A",1,IF(U89="B",0.75,IF(U89="C",0.5,IF(U89="D",0.25,IF(U89="E",0,"Blm Diisi"))))),IF(T89="%",IF(U89="","Blm Diisi",U89),IF(T89="Jumlah",IF(U89="","Blm Diisi",""),IF(T89="Rupiah",IF(U89="","Blm Diisi",""),IF(T89="","","-"))))))))</f>
        <v>0</v>
      </c>
      <c r="W89" s="28"/>
      <c r="X89" s="36"/>
      <c r="Y89"/>
      <c r="Z89"/>
      <c r="AA89" s="36"/>
      <c r="AB89" s="28"/>
      <c r="AC89" s="28"/>
      <c r="AD89" s="28" t="str">
        <f>IF(AB89="Ya/Tidak",IF(AC89="Ya",1,IF(AC89="Tidak",0,"Blm Diisi")),IF(AB89="A/B/C",IF(AC89="A",1,IF(AC89="B",0.5,IF(AC89="C",0,"Blm Diisi"))),IF(AB89="A/B/C/D",IF(AC89="A",1,IF(AC89="B",0.67,IF(AC89="C",0.33,IF(AC89="D",0,"Blm Diisi")))),IF(AB89="A/B/C/D/E",IF(AC89="A",1,IF(AC89="B",0.75,IF(AC89="C",0.5,IF(AC89="D",0.25,IF(AC89="E",0,"Blm Diisi"))))),IF(AB89="%",IF(AC89="","Blm Diisi",AC89),IF(AB89="Jumlah",IF(AC89="","Blm Diisi",""),IF(AB89="Rupiah",IF(AC89="","Blm Diisi",""),IF(AB89="","","-"))))))))</f>
        <v>0</v>
      </c>
      <c r="AE89" s="28"/>
      <c r="AF89" s="36"/>
      <c r="AG89"/>
      <c r="AH89"/>
      <c r="AI89" s="36"/>
      <c r="AJ89" s="28"/>
      <c r="AK89" s="28"/>
      <c r="AL89" s="28" t="str">
        <f>IF(AJ89="Ya/Tidak",IF(AK89="Ya",1,IF(AK89="Tidak",0,"Blm Diisi")),IF(AJ89="A/B/C",IF(AK89="A",1,IF(AK89="B",0.5,IF(AK89="C",0,"Blm Diisi"))),IF(AJ89="A/B/C/D",IF(AK89="A",1,IF(AK89="B",0.67,IF(AK89="C",0.33,IF(AK89="D",0,"Blm Diisi")))),IF(AJ89="A/B/C/D/E",IF(AK89="A",1,IF(AK89="B",0.75,IF(AK89="C",0.5,IF(AK89="D",0.25,IF(AK89="E",0,"Blm Diisi"))))),IF(AJ89="%",IF(AK89="","Blm Diisi",AK89),IF(AJ89="Jumlah",IF(AK89="","Blm Diisi",""),IF(AJ89="Rupiah",IF(AK89="","Blm Diisi",""),IF(AJ89="","","-"))))))))</f>
        <v>0</v>
      </c>
      <c r="AM89" s="28"/>
      <c r="AN89" s="36"/>
    </row>
    <row r="90" spans="1:40">
      <c r="A90" t="s">
        <v>20</v>
      </c>
      <c r="B90" s="23"/>
      <c r="C90" s="23"/>
      <c r="D90" s="23"/>
      <c r="E90" s="23"/>
      <c r="F90" s="23" t="s">
        <v>21</v>
      </c>
      <c r="G90" s="23" t="s">
        <v>415</v>
      </c>
      <c r="H90" s="28"/>
      <c r="I90" s="23" t="s">
        <v>416</v>
      </c>
      <c r="J90" s="28" t="s">
        <v>33</v>
      </c>
      <c r="K90" s="29" t="s">
        <v>34</v>
      </c>
      <c r="L90" s="28" t="str">
        <f>IF(J90="Ya/Tidak",IF(K90="Ya",1,IF(K90="Tidak",0,"Blm Diisi")),IF(J90="A/B/C",IF(K90="A",1,IF(K90="B",0.5,IF(K90="C",0,"Blm Diisi"))),IF(J90="A/B/C/D",IF(K90="A",1,IF(K90="B",0.67,IF(K90="C",0.33,IF(K90="D",0,"Blm Diisi")))),IF(J90="A/B/C/D/E",IF(K90="A",1,IF(K90="B",0.75,IF(K90="C",0.5,IF(K90="D",0.25,IF(K90="E",0,"Blm Diisi"))))),IF(J90="%",IF(K90="","Blm Diisi",K90),IF(J90="Jumlah",IF(K90="","Blm Diisi",""),IF(J90="Rupiah",IF(K90="","Blm Diisi",""),IF(J90="","","-"))))))))</f>
        <v>0</v>
      </c>
      <c r="M90" s="28"/>
      <c r="O90" s="30" t="s">
        <v>417</v>
      </c>
      <c r="P90" s="30" t="s">
        <v>418</v>
      </c>
      <c r="Q90" s="35" t="s">
        <v>419</v>
      </c>
      <c r="R90"/>
      <c r="S90" s="36"/>
      <c r="T90" s="28" t="s">
        <v>33</v>
      </c>
      <c r="U90" s="28" t="s">
        <v>38</v>
      </c>
      <c r="V90" s="28" t="str">
        <f>IF(T90="Ya/Tidak",IF(U90="Ya",1,IF(U90="Tidak",0,"Blm Diisi")),IF(T90="A/B/C",IF(U90="A",1,IF(U90="B",0.5,IF(U90="C",0,"Blm Diisi"))),IF(T90="A/B/C/D",IF(U90="A",1,IF(U90="B",0.67,IF(U90="C",0.33,IF(U90="D",0,"Blm Diisi")))),IF(T90="A/B/C/D/E",IF(U90="A",1,IF(U90="B",0.75,IF(U90="C",0.5,IF(U90="D",0.25,IF(U90="E",0,"Blm Diisi"))))),IF(T90="%",IF(U90="","Blm Diisi",U90),IF(T90="Jumlah",IF(U90="","Blm Diisi",""),IF(T90="Rupiah",IF(U90="","Blm Diisi",""),IF(T90="","","-"))))))))</f>
        <v>0</v>
      </c>
      <c r="W90" s="28"/>
      <c r="X90" s="36" t="s">
        <v>420</v>
      </c>
      <c r="Y90"/>
      <c r="Z90"/>
      <c r="AA90" s="36"/>
      <c r="AB90" s="28" t="s">
        <v>33</v>
      </c>
      <c r="AC90" s="28"/>
      <c r="AD90" s="28" t="str">
        <f>IF(AB90="Ya/Tidak",IF(AC90="Ya",1,IF(AC90="Tidak",0,"Blm Diisi")),IF(AB90="A/B/C",IF(AC90="A",1,IF(AC90="B",0.5,IF(AC90="C",0,"Blm Diisi"))),IF(AB90="A/B/C/D",IF(AC90="A",1,IF(AC90="B",0.67,IF(AC90="C",0.33,IF(AC90="D",0,"Blm Diisi")))),IF(AB90="A/B/C/D/E",IF(AC90="A",1,IF(AC90="B",0.75,IF(AC90="C",0.5,IF(AC90="D",0.25,IF(AC90="E",0,"Blm Diisi"))))),IF(AB90="%",IF(AC90="","Blm Diisi",AC90),IF(AB90="Jumlah",IF(AC90="","Blm Diisi",""),IF(AB90="Rupiah",IF(AC90="","Blm Diisi",""),IF(AB90="","","-"))))))))</f>
        <v>0</v>
      </c>
      <c r="AE90" s="28"/>
      <c r="AF90" s="36"/>
      <c r="AG90"/>
      <c r="AH90"/>
      <c r="AI90" s="36"/>
      <c r="AJ90" s="28" t="s">
        <v>33</v>
      </c>
      <c r="AK90" s="28"/>
      <c r="AL90" s="28" t="str">
        <f>IF(AJ90="Ya/Tidak",IF(AK90="Ya",1,IF(AK90="Tidak",0,"Blm Diisi")),IF(AJ90="A/B/C",IF(AK90="A",1,IF(AK90="B",0.5,IF(AK90="C",0,"Blm Diisi"))),IF(AJ90="A/B/C/D",IF(AK90="A",1,IF(AK90="B",0.67,IF(AK90="C",0.33,IF(AK90="D",0,"Blm Diisi")))),IF(AJ90="A/B/C/D/E",IF(AK90="A",1,IF(AK90="B",0.75,IF(AK90="C",0.5,IF(AK90="D",0.25,IF(AK90="E",0,"Blm Diisi"))))),IF(AJ90="%",IF(AK90="","Blm Diisi",AK90),IF(AJ90="Jumlah",IF(AK90="","Blm Diisi",""),IF(AJ90="Rupiah",IF(AK90="","Blm Diisi",""),IF(AJ90="","","-"))))))))</f>
        <v>0</v>
      </c>
      <c r="AM90" s="28"/>
      <c r="AN90" s="36"/>
    </row>
    <row r="91" spans="1:40">
      <c r="A91" t="s">
        <v>20</v>
      </c>
      <c r="B91" s="23"/>
      <c r="C91" s="23"/>
      <c r="D91" s="23"/>
      <c r="E91" s="23"/>
      <c r="F91" s="23" t="s">
        <v>30</v>
      </c>
      <c r="G91" s="23" t="s">
        <v>421</v>
      </c>
      <c r="H91" s="28"/>
      <c r="I91" s="23" t="s">
        <v>422</v>
      </c>
      <c r="J91" s="28" t="s">
        <v>33</v>
      </c>
      <c r="K91" s="29" t="s">
        <v>34</v>
      </c>
      <c r="L91" s="28" t="str">
        <f>IF(J91="Ya/Tidak",IF(K91="Ya",1,IF(K91="Tidak",0,"Blm Diisi")),IF(J91="A/B/C",IF(K91="A",1,IF(K91="B",0.5,IF(K91="C",0,"Blm Diisi"))),IF(J91="A/B/C/D",IF(K91="A",1,IF(K91="B",0.67,IF(K91="C",0.33,IF(K91="D",0,"Blm Diisi")))),IF(J91="A/B/C/D/E",IF(K91="A",1,IF(K91="B",0.75,IF(K91="C",0.5,IF(K91="D",0.25,IF(K91="E",0,"Blm Diisi"))))),IF(J91="%",IF(K91="","Blm Diisi",K91),IF(J91="Jumlah",IF(K91="","Blm Diisi",""),IF(J91="Rupiah",IF(K91="","Blm Diisi",""),IF(J91="","","-"))))))))</f>
        <v>0</v>
      </c>
      <c r="M91" s="28"/>
      <c r="O91" s="30" t="s">
        <v>423</v>
      </c>
      <c r="P91" s="30" t="s">
        <v>424</v>
      </c>
      <c r="Q91" s="35" t="s">
        <v>425</v>
      </c>
      <c r="R91"/>
      <c r="S91" s="36"/>
      <c r="T91" s="28" t="s">
        <v>33</v>
      </c>
      <c r="U91" s="28" t="s">
        <v>34</v>
      </c>
      <c r="V91" s="28" t="str">
        <f>IF(T91="Ya/Tidak",IF(U91="Ya",1,IF(U91="Tidak",0,"Blm Diisi")),IF(T91="A/B/C",IF(U91="A",1,IF(U91="B",0.5,IF(U91="C",0,"Blm Diisi"))),IF(T91="A/B/C/D",IF(U91="A",1,IF(U91="B",0.67,IF(U91="C",0.33,IF(U91="D",0,"Blm Diisi")))),IF(T91="A/B/C/D/E",IF(U91="A",1,IF(U91="B",0.75,IF(U91="C",0.5,IF(U91="D",0.25,IF(U91="E",0,"Blm Diisi"))))),IF(T91="%",IF(U91="","Blm Diisi",U91),IF(T91="Jumlah",IF(U91="","Blm Diisi",""),IF(T91="Rupiah",IF(U91="","Blm Diisi",""),IF(T91="","","-"))))))))</f>
        <v>0</v>
      </c>
      <c r="W91" s="28"/>
      <c r="X91" s="36" t="s">
        <v>426</v>
      </c>
      <c r="Y91"/>
      <c r="Z91"/>
      <c r="AA91" s="36"/>
      <c r="AB91" s="28" t="s">
        <v>33</v>
      </c>
      <c r="AC91" s="28"/>
      <c r="AD91" s="28" t="str">
        <f>IF(AB91="Ya/Tidak",IF(AC91="Ya",1,IF(AC91="Tidak",0,"Blm Diisi")),IF(AB91="A/B/C",IF(AC91="A",1,IF(AC91="B",0.5,IF(AC91="C",0,"Blm Diisi"))),IF(AB91="A/B/C/D",IF(AC91="A",1,IF(AC91="B",0.67,IF(AC91="C",0.33,IF(AC91="D",0,"Blm Diisi")))),IF(AB91="A/B/C/D/E",IF(AC91="A",1,IF(AC91="B",0.75,IF(AC91="C",0.5,IF(AC91="D",0.25,IF(AC91="E",0,"Blm Diisi"))))),IF(AB91="%",IF(AC91="","Blm Diisi",AC91),IF(AB91="Jumlah",IF(AC91="","Blm Diisi",""),IF(AB91="Rupiah",IF(AC91="","Blm Diisi",""),IF(AB91="","","-"))))))))</f>
        <v>0</v>
      </c>
      <c r="AE91" s="28"/>
      <c r="AF91" s="36"/>
      <c r="AG91"/>
      <c r="AH91"/>
      <c r="AI91" s="36"/>
      <c r="AJ91" s="28" t="s">
        <v>33</v>
      </c>
      <c r="AK91" s="28"/>
      <c r="AL91" s="28" t="str">
        <f>IF(AJ91="Ya/Tidak",IF(AK91="Ya",1,IF(AK91="Tidak",0,"Blm Diisi")),IF(AJ91="A/B/C",IF(AK91="A",1,IF(AK91="B",0.5,IF(AK91="C",0,"Blm Diisi"))),IF(AJ91="A/B/C/D",IF(AK91="A",1,IF(AK91="B",0.67,IF(AK91="C",0.33,IF(AK91="D",0,"Blm Diisi")))),IF(AJ91="A/B/C/D/E",IF(AK91="A",1,IF(AK91="B",0.75,IF(AK91="C",0.5,IF(AK91="D",0.25,IF(AK91="E",0,"Blm Diisi"))))),IF(AJ91="%",IF(AK91="","Blm Diisi",AK91),IF(AJ91="Jumlah",IF(AK91="","Blm Diisi",""),IF(AJ91="Rupiah",IF(AK91="","Blm Diisi",""),IF(AJ91="","","-"))))))))</f>
        <v>0</v>
      </c>
      <c r="AM91" s="28"/>
      <c r="AN91" s="36"/>
    </row>
    <row r="92" spans="1:40">
      <c r="A92" t="s">
        <v>20</v>
      </c>
      <c r="B92" s="23"/>
      <c r="C92" s="23"/>
      <c r="D92" s="23"/>
      <c r="E92" s="23"/>
      <c r="F92" s="23" t="s">
        <v>52</v>
      </c>
      <c r="G92" s="23" t="s">
        <v>427</v>
      </c>
      <c r="H92" s="28"/>
      <c r="I92" s="23" t="s">
        <v>428</v>
      </c>
      <c r="J92" s="28" t="s">
        <v>33</v>
      </c>
      <c r="K92" s="29" t="s">
        <v>34</v>
      </c>
      <c r="L92" s="28" t="str">
        <f>IF(J92="Ya/Tidak",IF(K92="Ya",1,IF(K92="Tidak",0,"Blm Diisi")),IF(J92="A/B/C",IF(K92="A",1,IF(K92="B",0.5,IF(K92="C",0,"Blm Diisi"))),IF(J92="A/B/C/D",IF(K92="A",1,IF(K92="B",0.67,IF(K92="C",0.33,IF(K92="D",0,"Blm Diisi")))),IF(J92="A/B/C/D/E",IF(K92="A",1,IF(K92="B",0.75,IF(K92="C",0.5,IF(K92="D",0.25,IF(K92="E",0,"Blm Diisi"))))),IF(J92="%",IF(K92="","Blm Diisi",K92),IF(J92="Jumlah",IF(K92="","Blm Diisi",""),IF(J92="Rupiah",IF(K92="","Blm Diisi",""),IF(J92="","","-"))))))))</f>
        <v>0</v>
      </c>
      <c r="M92" s="28"/>
      <c r="O92" s="30"/>
      <c r="P92" s="30" t="s">
        <v>429</v>
      </c>
      <c r="Q92" s="35" t="s">
        <v>430</v>
      </c>
      <c r="R92"/>
      <c r="S92" s="36"/>
      <c r="T92" s="28" t="s">
        <v>33</v>
      </c>
      <c r="U92" s="28" t="s">
        <v>34</v>
      </c>
      <c r="V92" s="28" t="str">
        <f>IF(T92="Ya/Tidak",IF(U92="Ya",1,IF(U92="Tidak",0,"Blm Diisi")),IF(T92="A/B/C",IF(U92="A",1,IF(U92="B",0.5,IF(U92="C",0,"Blm Diisi"))),IF(T92="A/B/C/D",IF(U92="A",1,IF(U92="B",0.67,IF(U92="C",0.33,IF(U92="D",0,"Blm Diisi")))),IF(T92="A/B/C/D/E",IF(U92="A",1,IF(U92="B",0.75,IF(U92="C",0.5,IF(U92="D",0.25,IF(U92="E",0,"Blm Diisi"))))),IF(T92="%",IF(U92="","Blm Diisi",U92),IF(T92="Jumlah",IF(U92="","Blm Diisi",""),IF(T92="Rupiah",IF(U92="","Blm Diisi",""),IF(T92="","","-"))))))))</f>
        <v>0</v>
      </c>
      <c r="W92" s="28"/>
      <c r="X92" s="36" t="s">
        <v>431</v>
      </c>
      <c r="Y92"/>
      <c r="Z92"/>
      <c r="AA92" s="36"/>
      <c r="AB92" s="28" t="s">
        <v>33</v>
      </c>
      <c r="AC92" s="28"/>
      <c r="AD92" s="28" t="str">
        <f>IF(AB92="Ya/Tidak",IF(AC92="Ya",1,IF(AC92="Tidak",0,"Blm Diisi")),IF(AB92="A/B/C",IF(AC92="A",1,IF(AC92="B",0.5,IF(AC92="C",0,"Blm Diisi"))),IF(AB92="A/B/C/D",IF(AC92="A",1,IF(AC92="B",0.67,IF(AC92="C",0.33,IF(AC92="D",0,"Blm Diisi")))),IF(AB92="A/B/C/D/E",IF(AC92="A",1,IF(AC92="B",0.75,IF(AC92="C",0.5,IF(AC92="D",0.25,IF(AC92="E",0,"Blm Diisi"))))),IF(AB92="%",IF(AC92="","Blm Diisi",AC92),IF(AB92="Jumlah",IF(AC92="","Blm Diisi",""),IF(AB92="Rupiah",IF(AC92="","Blm Diisi",""),IF(AB92="","","-"))))))))</f>
        <v>0</v>
      </c>
      <c r="AE92" s="28"/>
      <c r="AF92" s="36"/>
      <c r="AG92"/>
      <c r="AH92"/>
      <c r="AI92" s="36"/>
      <c r="AJ92" s="28" t="s">
        <v>33</v>
      </c>
      <c r="AK92" s="28"/>
      <c r="AL92" s="28" t="str">
        <f>IF(AJ92="Ya/Tidak",IF(AK92="Ya",1,IF(AK92="Tidak",0,"Blm Diisi")),IF(AJ92="A/B/C",IF(AK92="A",1,IF(AK92="B",0.5,IF(AK92="C",0,"Blm Diisi"))),IF(AJ92="A/B/C/D",IF(AK92="A",1,IF(AK92="B",0.67,IF(AK92="C",0.33,IF(AK92="D",0,"Blm Diisi")))),IF(AJ92="A/B/C/D/E",IF(AK92="A",1,IF(AK92="B",0.75,IF(AK92="C",0.5,IF(AK92="D",0.25,IF(AK92="E",0,"Blm Diisi"))))),IF(AJ92="%",IF(AK92="","Blm Diisi",AK92),IF(AJ92="Jumlah",IF(AK92="","Blm Diisi",""),IF(AJ92="Rupiah",IF(AK92="","Blm Diisi",""),IF(AJ92="","","-"))))))))</f>
        <v>0</v>
      </c>
      <c r="AM92" s="28"/>
      <c r="AN92" s="36"/>
    </row>
    <row r="93" spans="1:40">
      <c r="B93" s="22"/>
      <c r="C93" s="22"/>
      <c r="D93" s="22"/>
      <c r="E93" s="22" t="s">
        <v>269</v>
      </c>
      <c r="F93" s="22" t="s">
        <v>432</v>
      </c>
      <c r="G93" s="22"/>
      <c r="H93" s="27">
        <v>1.5</v>
      </c>
      <c r="I93" s="22"/>
      <c r="J93" s="27"/>
      <c r="K93" s="27"/>
      <c r="L93" s="27" t="str">
        <f>AVERAGE(L94:L98)*H93</f>
        <v>0</v>
      </c>
      <c r="M93" s="27" t="str">
        <f>L93/H93</f>
        <v>0</v>
      </c>
      <c r="N93" s="1"/>
      <c r="O93" s="22"/>
      <c r="P93" s="22"/>
      <c r="Q93" s="34"/>
      <c r="R93"/>
      <c r="S93" s="36">
        <v>1.5</v>
      </c>
      <c r="T93" s="28"/>
      <c r="U93" s="28"/>
      <c r="V93" s="28" t="str">
        <f>AVERAGE(V94:V98)*S93</f>
        <v>0</v>
      </c>
      <c r="W93" s="28" t="str">
        <f>V93/S93</f>
        <v>0</v>
      </c>
      <c r="X93" s="36"/>
      <c r="Y93"/>
      <c r="Z93"/>
      <c r="AA93" s="36">
        <v>1.5</v>
      </c>
      <c r="AB93" s="28"/>
      <c r="AC93" s="28"/>
      <c r="AD93" s="28" t="str">
        <f>AVERAGE(AD94:AD98)*AA93</f>
        <v>0</v>
      </c>
      <c r="AE93" s="28" t="str">
        <f>AD93/AA93</f>
        <v>0</v>
      </c>
      <c r="AF93" s="36"/>
      <c r="AG93"/>
      <c r="AH93"/>
      <c r="AI93" s="36">
        <v>1.5</v>
      </c>
      <c r="AJ93" s="28"/>
      <c r="AK93" s="28"/>
      <c r="AL93" s="28" t="str">
        <f>AVERAGE(AL94:AL98)*AI93</f>
        <v>0</v>
      </c>
      <c r="AM93" s="28" t="str">
        <f>AL93/AI93</f>
        <v>0</v>
      </c>
      <c r="AN93" s="36"/>
    </row>
    <row r="94" spans="1:40">
      <c r="A94" t="s">
        <v>20</v>
      </c>
      <c r="B94" s="23"/>
      <c r="C94" s="23"/>
      <c r="D94" s="23"/>
      <c r="E94" s="23"/>
      <c r="F94" s="23" t="s">
        <v>21</v>
      </c>
      <c r="G94" s="23" t="s">
        <v>433</v>
      </c>
      <c r="H94" s="28"/>
      <c r="I94" s="23" t="s">
        <v>434</v>
      </c>
      <c r="J94" s="28" t="s">
        <v>63</v>
      </c>
      <c r="K94" s="29" t="s">
        <v>34</v>
      </c>
      <c r="L94" s="28" t="str">
        <f>IF(J94="Ya/Tidak",IF(K94="Ya",1,IF(K94="Tidak",0,"Blm Diisi")),IF(J94="A/B/C",IF(K94="A",1,IF(K94="B",0.5,IF(K94="C",0,"Blm Diisi"))),IF(J94="A/B/C/D",IF(K94="A",1,IF(K94="B",0.67,IF(K94="C",0.33,IF(K94="D",0,"Blm Diisi")))),IF(J94="A/B/C/D/E",IF(K94="A",1,IF(K94="B",0.75,IF(K94="C",0.5,IF(K94="D",0.25,IF(K94="E",0,"Blm Diisi"))))),IF(J94="%",IF(K94="","Blm Diisi",K94),IF(J94="Jumlah",IF(K94="","Blm Diisi",""),IF(J94="Rupiah",IF(K94="","Blm Diisi",""),IF(J94="","","-"))))))))</f>
        <v>0</v>
      </c>
      <c r="M94" s="28"/>
      <c r="O94" s="30" t="s">
        <v>435</v>
      </c>
      <c r="P94" s="30" t="s">
        <v>436</v>
      </c>
      <c r="Q94" s="35" t="s">
        <v>437</v>
      </c>
      <c r="R94"/>
      <c r="S94" s="36"/>
      <c r="T94" s="28" t="s">
        <v>63</v>
      </c>
      <c r="U94" s="28" t="s">
        <v>34</v>
      </c>
      <c r="V94" s="28" t="str">
        <f>IF(T94="Ya/Tidak",IF(U94="Ya",1,IF(U94="Tidak",0,"Blm Diisi")),IF(T94="A/B/C",IF(U94="A",1,IF(U94="B",0.5,IF(U94="C",0,"Blm Diisi"))),IF(T94="A/B/C/D",IF(U94="A",1,IF(U94="B",0.67,IF(U94="C",0.33,IF(U94="D",0,"Blm Diisi")))),IF(T94="A/B/C/D/E",IF(U94="A",1,IF(U94="B",0.75,IF(U94="C",0.5,IF(U94="D",0.25,IF(U94="E",0,"Blm Diisi"))))),IF(T94="%",IF(U94="","Blm Diisi",U94),IF(T94="Jumlah",IF(U94="","Blm Diisi",""),IF(T94="Rupiah",IF(U94="","Blm Diisi",""),IF(T94="","","-"))))))))</f>
        <v>0</v>
      </c>
      <c r="W94" s="28"/>
      <c r="X94" s="36" t="s">
        <v>438</v>
      </c>
      <c r="Y94"/>
      <c r="Z94"/>
      <c r="AA94" s="36"/>
      <c r="AB94" s="28" t="s">
        <v>63</v>
      </c>
      <c r="AC94" s="28"/>
      <c r="AD94" s="28" t="str">
        <f>IF(AB94="Ya/Tidak",IF(AC94="Ya",1,IF(AC94="Tidak",0,"Blm Diisi")),IF(AB94="A/B/C",IF(AC94="A",1,IF(AC94="B",0.5,IF(AC94="C",0,"Blm Diisi"))),IF(AB94="A/B/C/D",IF(AC94="A",1,IF(AC94="B",0.67,IF(AC94="C",0.33,IF(AC94="D",0,"Blm Diisi")))),IF(AB94="A/B/C/D/E",IF(AC94="A",1,IF(AC94="B",0.75,IF(AC94="C",0.5,IF(AC94="D",0.25,IF(AC94="E",0,"Blm Diisi"))))),IF(AB94="%",IF(AC94="","Blm Diisi",AC94),IF(AB94="Jumlah",IF(AC94="","Blm Diisi",""),IF(AB94="Rupiah",IF(AC94="","Blm Diisi",""),IF(AB94="","","-"))))))))</f>
        <v>0</v>
      </c>
      <c r="AE94" s="28"/>
      <c r="AF94" s="36"/>
      <c r="AG94"/>
      <c r="AH94"/>
      <c r="AI94" s="36"/>
      <c r="AJ94" s="28" t="s">
        <v>63</v>
      </c>
      <c r="AK94" s="28"/>
      <c r="AL94" s="28" t="str">
        <f>IF(AJ94="Ya/Tidak",IF(AK94="Ya",1,IF(AK94="Tidak",0,"Blm Diisi")),IF(AJ94="A/B/C",IF(AK94="A",1,IF(AK94="B",0.5,IF(AK94="C",0,"Blm Diisi"))),IF(AJ94="A/B/C/D",IF(AK94="A",1,IF(AK94="B",0.67,IF(AK94="C",0.33,IF(AK94="D",0,"Blm Diisi")))),IF(AJ94="A/B/C/D/E",IF(AK94="A",1,IF(AK94="B",0.75,IF(AK94="C",0.5,IF(AK94="D",0.25,IF(AK94="E",0,"Blm Diisi"))))),IF(AJ94="%",IF(AK94="","Blm Diisi",AK94),IF(AJ94="Jumlah",IF(AK94="","Blm Diisi",""),IF(AJ94="Rupiah",IF(AK94="","Blm Diisi",""),IF(AJ94="","","-"))))))))</f>
        <v>0</v>
      </c>
      <c r="AM94" s="28"/>
      <c r="AN94" s="36"/>
    </row>
    <row r="95" spans="1:40">
      <c r="A95" t="s">
        <v>20</v>
      </c>
      <c r="B95" s="23"/>
      <c r="C95" s="23"/>
      <c r="D95" s="23"/>
      <c r="E95" s="23"/>
      <c r="F95" s="23" t="s">
        <v>30</v>
      </c>
      <c r="G95" s="23" t="s">
        <v>439</v>
      </c>
      <c r="H95" s="28"/>
      <c r="I95" s="23" t="s">
        <v>440</v>
      </c>
      <c r="J95" s="28" t="s">
        <v>63</v>
      </c>
      <c r="K95" s="29" t="s">
        <v>34</v>
      </c>
      <c r="L95" s="28" t="str">
        <f>IF(J95="Ya/Tidak",IF(K95="Ya",1,IF(K95="Tidak",0,"Blm Diisi")),IF(J95="A/B/C",IF(K95="A",1,IF(K95="B",0.5,IF(K95="C",0,"Blm Diisi"))),IF(J95="A/B/C/D",IF(K95="A",1,IF(K95="B",0.67,IF(K95="C",0.33,IF(K95="D",0,"Blm Diisi")))),IF(J95="A/B/C/D/E",IF(K95="A",1,IF(K95="B",0.75,IF(K95="C",0.5,IF(K95="D",0.25,IF(K95="E",0,"Blm Diisi"))))),IF(J95="%",IF(K95="","Blm Diisi",K95),IF(J95="Jumlah",IF(K95="","Blm Diisi",""),IF(J95="Rupiah",IF(K95="","Blm Diisi",""),IF(J95="","","-"))))))))</f>
        <v>0</v>
      </c>
      <c r="M95" s="28"/>
      <c r="O95" s="30" t="s">
        <v>441</v>
      </c>
      <c r="P95" s="30" t="s">
        <v>442</v>
      </c>
      <c r="Q95" s="35" t="s">
        <v>443</v>
      </c>
      <c r="R95"/>
      <c r="S95" s="36"/>
      <c r="T95" s="28" t="s">
        <v>63</v>
      </c>
      <c r="U95" s="28" t="s">
        <v>34</v>
      </c>
      <c r="V95" s="28" t="str">
        <f>IF(T95="Ya/Tidak",IF(U95="Ya",1,IF(U95="Tidak",0,"Blm Diisi")),IF(T95="A/B/C",IF(U95="A",1,IF(U95="B",0.5,IF(U95="C",0,"Blm Diisi"))),IF(T95="A/B/C/D",IF(U95="A",1,IF(U95="B",0.67,IF(U95="C",0.33,IF(U95="D",0,"Blm Diisi")))),IF(T95="A/B/C/D/E",IF(U95="A",1,IF(U95="B",0.75,IF(U95="C",0.5,IF(U95="D",0.25,IF(U95="E",0,"Blm Diisi"))))),IF(T95="%",IF(U95="","Blm Diisi",U95),IF(T95="Jumlah",IF(U95="","Blm Diisi",""),IF(T95="Rupiah",IF(U95="","Blm Diisi",""),IF(T95="","","-"))))))))</f>
        <v>0</v>
      </c>
      <c r="W95" s="28"/>
      <c r="X95" s="36" t="s">
        <v>444</v>
      </c>
      <c r="Y95"/>
      <c r="Z95"/>
      <c r="AA95" s="36"/>
      <c r="AB95" s="28" t="s">
        <v>63</v>
      </c>
      <c r="AC95" s="28"/>
      <c r="AD95" s="28" t="str">
        <f>IF(AB95="Ya/Tidak",IF(AC95="Ya",1,IF(AC95="Tidak",0,"Blm Diisi")),IF(AB95="A/B/C",IF(AC95="A",1,IF(AC95="B",0.5,IF(AC95="C",0,"Blm Diisi"))),IF(AB95="A/B/C/D",IF(AC95="A",1,IF(AC95="B",0.67,IF(AC95="C",0.33,IF(AC95="D",0,"Blm Diisi")))),IF(AB95="A/B/C/D/E",IF(AC95="A",1,IF(AC95="B",0.75,IF(AC95="C",0.5,IF(AC95="D",0.25,IF(AC95="E",0,"Blm Diisi"))))),IF(AB95="%",IF(AC95="","Blm Diisi",AC95),IF(AB95="Jumlah",IF(AC95="","Blm Diisi",""),IF(AB95="Rupiah",IF(AC95="","Blm Diisi",""),IF(AB95="","","-"))))))))</f>
        <v>0</v>
      </c>
      <c r="AE95" s="28"/>
      <c r="AF95" s="36"/>
      <c r="AG95"/>
      <c r="AH95"/>
      <c r="AI95" s="36"/>
      <c r="AJ95" s="28" t="s">
        <v>63</v>
      </c>
      <c r="AK95" s="28"/>
      <c r="AL95" s="28" t="str">
        <f>IF(AJ95="Ya/Tidak",IF(AK95="Ya",1,IF(AK95="Tidak",0,"Blm Diisi")),IF(AJ95="A/B/C",IF(AK95="A",1,IF(AK95="B",0.5,IF(AK95="C",0,"Blm Diisi"))),IF(AJ95="A/B/C/D",IF(AK95="A",1,IF(AK95="B",0.67,IF(AK95="C",0.33,IF(AK95="D",0,"Blm Diisi")))),IF(AJ95="A/B/C/D/E",IF(AK95="A",1,IF(AK95="B",0.75,IF(AK95="C",0.5,IF(AK95="D",0.25,IF(AK95="E",0,"Blm Diisi"))))),IF(AJ95="%",IF(AK95="","Blm Diisi",AK95),IF(AJ95="Jumlah",IF(AK95="","Blm Diisi",""),IF(AJ95="Rupiah",IF(AK95="","Blm Diisi",""),IF(AJ95="","","-"))))))))</f>
        <v>0</v>
      </c>
      <c r="AM95" s="28"/>
      <c r="AN95" s="36"/>
    </row>
    <row r="96" spans="1:40">
      <c r="A96" t="s">
        <v>20</v>
      </c>
      <c r="B96" s="23"/>
      <c r="C96" s="23"/>
      <c r="D96" s="23"/>
      <c r="E96" s="23"/>
      <c r="F96" s="23" t="s">
        <v>52</v>
      </c>
      <c r="G96" s="23" t="s">
        <v>445</v>
      </c>
      <c r="H96" s="28"/>
      <c r="I96" s="23" t="s">
        <v>446</v>
      </c>
      <c r="J96" s="28" t="s">
        <v>63</v>
      </c>
      <c r="K96" s="29" t="s">
        <v>34</v>
      </c>
      <c r="L96" s="28" t="str">
        <f>IF(J96="Ya/Tidak",IF(K96="Ya",1,IF(K96="Tidak",0,"Blm Diisi")),IF(J96="A/B/C",IF(K96="A",1,IF(K96="B",0.5,IF(K96="C",0,"Blm Diisi"))),IF(J96="A/B/C/D",IF(K96="A",1,IF(K96="B",0.67,IF(K96="C",0.33,IF(K96="D",0,"Blm Diisi")))),IF(J96="A/B/C/D/E",IF(K96="A",1,IF(K96="B",0.75,IF(K96="C",0.5,IF(K96="D",0.25,IF(K96="E",0,"Blm Diisi"))))),IF(J96="%",IF(K96="","Blm Diisi",K96),IF(J96="Jumlah",IF(K96="","Blm Diisi",""),IF(J96="Rupiah",IF(K96="","Blm Diisi",""),IF(J96="","","-"))))))))</f>
        <v>0</v>
      </c>
      <c r="M96" s="28"/>
      <c r="O96" s="30" t="s">
        <v>447</v>
      </c>
      <c r="P96" s="30" t="s">
        <v>448</v>
      </c>
      <c r="Q96" s="35" t="s">
        <v>449</v>
      </c>
      <c r="R96"/>
      <c r="S96" s="36"/>
      <c r="T96" s="28" t="s">
        <v>63</v>
      </c>
      <c r="U96" s="28" t="s">
        <v>34</v>
      </c>
      <c r="V96" s="28" t="str">
        <f>IF(T96="Ya/Tidak",IF(U96="Ya",1,IF(U96="Tidak",0,"Blm Diisi")),IF(T96="A/B/C",IF(U96="A",1,IF(U96="B",0.5,IF(U96="C",0,"Blm Diisi"))),IF(T96="A/B/C/D",IF(U96="A",1,IF(U96="B",0.67,IF(U96="C",0.33,IF(U96="D",0,"Blm Diisi")))),IF(T96="A/B/C/D/E",IF(U96="A",1,IF(U96="B",0.75,IF(U96="C",0.5,IF(U96="D",0.25,IF(U96="E",0,"Blm Diisi"))))),IF(T96="%",IF(U96="","Blm Diisi",U96),IF(T96="Jumlah",IF(U96="","Blm Diisi",""),IF(T96="Rupiah",IF(U96="","Blm Diisi",""),IF(T96="","","-"))))))))</f>
        <v>0</v>
      </c>
      <c r="W96" s="28"/>
      <c r="X96" s="36" t="s">
        <v>450</v>
      </c>
      <c r="Y96"/>
      <c r="Z96"/>
      <c r="AA96" s="36"/>
      <c r="AB96" s="28" t="s">
        <v>63</v>
      </c>
      <c r="AC96" s="28"/>
      <c r="AD96" s="28" t="str">
        <f>IF(AB96="Ya/Tidak",IF(AC96="Ya",1,IF(AC96="Tidak",0,"Blm Diisi")),IF(AB96="A/B/C",IF(AC96="A",1,IF(AC96="B",0.5,IF(AC96="C",0,"Blm Diisi"))),IF(AB96="A/B/C/D",IF(AC96="A",1,IF(AC96="B",0.67,IF(AC96="C",0.33,IF(AC96="D",0,"Blm Diisi")))),IF(AB96="A/B/C/D/E",IF(AC96="A",1,IF(AC96="B",0.75,IF(AC96="C",0.5,IF(AC96="D",0.25,IF(AC96="E",0,"Blm Diisi"))))),IF(AB96="%",IF(AC96="","Blm Diisi",AC96),IF(AB96="Jumlah",IF(AC96="","Blm Diisi",""),IF(AB96="Rupiah",IF(AC96="","Blm Diisi",""),IF(AB96="","","-"))))))))</f>
        <v>0</v>
      </c>
      <c r="AE96" s="28"/>
      <c r="AF96" s="36"/>
      <c r="AG96"/>
      <c r="AH96"/>
      <c r="AI96" s="36"/>
      <c r="AJ96" s="28" t="s">
        <v>63</v>
      </c>
      <c r="AK96" s="28"/>
      <c r="AL96" s="28" t="str">
        <f>IF(AJ96="Ya/Tidak",IF(AK96="Ya",1,IF(AK96="Tidak",0,"Blm Diisi")),IF(AJ96="A/B/C",IF(AK96="A",1,IF(AK96="B",0.5,IF(AK96="C",0,"Blm Diisi"))),IF(AJ96="A/B/C/D",IF(AK96="A",1,IF(AK96="B",0.67,IF(AK96="C",0.33,IF(AK96="D",0,"Blm Diisi")))),IF(AJ96="A/B/C/D/E",IF(AK96="A",1,IF(AK96="B",0.75,IF(AK96="C",0.5,IF(AK96="D",0.25,IF(AK96="E",0,"Blm Diisi"))))),IF(AJ96="%",IF(AK96="","Blm Diisi",AK96),IF(AJ96="Jumlah",IF(AK96="","Blm Diisi",""),IF(AJ96="Rupiah",IF(AK96="","Blm Diisi",""),IF(AJ96="","","-"))))))))</f>
        <v>0</v>
      </c>
      <c r="AM96" s="28"/>
      <c r="AN96" s="36"/>
    </row>
    <row r="97" spans="1:40">
      <c r="A97" t="s">
        <v>20</v>
      </c>
      <c r="B97" s="23"/>
      <c r="C97" s="23"/>
      <c r="D97" s="23"/>
      <c r="E97" s="23"/>
      <c r="F97" s="23" t="s">
        <v>99</v>
      </c>
      <c r="G97" s="23" t="s">
        <v>451</v>
      </c>
      <c r="H97" s="28"/>
      <c r="I97" s="23" t="s">
        <v>452</v>
      </c>
      <c r="J97" s="28" t="s">
        <v>33</v>
      </c>
      <c r="K97" s="29" t="s">
        <v>34</v>
      </c>
      <c r="L97" s="28" t="str">
        <f>IF(J97="Ya/Tidak",IF(K97="Ya",1,IF(K97="Tidak",0,"Blm Diisi")),IF(J97="A/B/C",IF(K97="A",1,IF(K97="B",0.5,IF(K97="C",0,"Blm Diisi"))),IF(J97="A/B/C/D",IF(K97="A",1,IF(K97="B",0.67,IF(K97="C",0.33,IF(K97="D",0,"Blm Diisi")))),IF(J97="A/B/C/D/E",IF(K97="A",1,IF(K97="B",0.75,IF(K97="C",0.5,IF(K97="D",0.25,IF(K97="E",0,"Blm Diisi"))))),IF(J97="%",IF(K97="","Blm Diisi",K97),IF(J97="Jumlah",IF(K97="","Blm Diisi",""),IF(J97="Rupiah",IF(K97="","Blm Diisi",""),IF(J97="","","-"))))))))</f>
        <v>0</v>
      </c>
      <c r="M97" s="28"/>
      <c r="O97" s="30"/>
      <c r="P97" s="30" t="s">
        <v>453</v>
      </c>
      <c r="Q97" s="35" t="s">
        <v>454</v>
      </c>
      <c r="R97"/>
      <c r="S97" s="36"/>
      <c r="T97" s="28" t="s">
        <v>33</v>
      </c>
      <c r="U97" s="28" t="s">
        <v>34</v>
      </c>
      <c r="V97" s="28" t="str">
        <f>IF(T97="Ya/Tidak",IF(U97="Ya",1,IF(U97="Tidak",0,"Blm Diisi")),IF(T97="A/B/C",IF(U97="A",1,IF(U97="B",0.5,IF(U97="C",0,"Blm Diisi"))),IF(T97="A/B/C/D",IF(U97="A",1,IF(U97="B",0.67,IF(U97="C",0.33,IF(U97="D",0,"Blm Diisi")))),IF(T97="A/B/C/D/E",IF(U97="A",1,IF(U97="B",0.75,IF(U97="C",0.5,IF(U97="D",0.25,IF(U97="E",0,"Blm Diisi"))))),IF(T97="%",IF(U97="","Blm Diisi",U97),IF(T97="Jumlah",IF(U97="","Blm Diisi",""),IF(T97="Rupiah",IF(U97="","Blm Diisi",""),IF(T97="","","-"))))))))</f>
        <v>0</v>
      </c>
      <c r="W97" s="28"/>
      <c r="X97" s="36" t="s">
        <v>455</v>
      </c>
      <c r="Y97"/>
      <c r="Z97"/>
      <c r="AA97" s="36"/>
      <c r="AB97" s="28" t="s">
        <v>33</v>
      </c>
      <c r="AC97" s="28"/>
      <c r="AD97" s="28" t="str">
        <f>IF(AB97="Ya/Tidak",IF(AC97="Ya",1,IF(AC97="Tidak",0,"Blm Diisi")),IF(AB97="A/B/C",IF(AC97="A",1,IF(AC97="B",0.5,IF(AC97="C",0,"Blm Diisi"))),IF(AB97="A/B/C/D",IF(AC97="A",1,IF(AC97="B",0.67,IF(AC97="C",0.33,IF(AC97="D",0,"Blm Diisi")))),IF(AB97="A/B/C/D/E",IF(AC97="A",1,IF(AC97="B",0.75,IF(AC97="C",0.5,IF(AC97="D",0.25,IF(AC97="E",0,"Blm Diisi"))))),IF(AB97="%",IF(AC97="","Blm Diisi",AC97),IF(AB97="Jumlah",IF(AC97="","Blm Diisi",""),IF(AB97="Rupiah",IF(AC97="","Blm Diisi",""),IF(AB97="","","-"))))))))</f>
        <v>0</v>
      </c>
      <c r="AE97" s="28"/>
      <c r="AF97" s="36"/>
      <c r="AG97"/>
      <c r="AH97"/>
      <c r="AI97" s="36"/>
      <c r="AJ97" s="28" t="s">
        <v>33</v>
      </c>
      <c r="AK97" s="28"/>
      <c r="AL97" s="28" t="str">
        <f>IF(AJ97="Ya/Tidak",IF(AK97="Ya",1,IF(AK97="Tidak",0,"Blm Diisi")),IF(AJ97="A/B/C",IF(AK97="A",1,IF(AK97="B",0.5,IF(AK97="C",0,"Blm Diisi"))),IF(AJ97="A/B/C/D",IF(AK97="A",1,IF(AK97="B",0.67,IF(AK97="C",0.33,IF(AK97="D",0,"Blm Diisi")))),IF(AJ97="A/B/C/D/E",IF(AK97="A",1,IF(AK97="B",0.75,IF(AK97="C",0.5,IF(AK97="D",0.25,IF(AK97="E",0,"Blm Diisi"))))),IF(AJ97="%",IF(AK97="","Blm Diisi",AK97),IF(AJ97="Jumlah",IF(AK97="","Blm Diisi",""),IF(AJ97="Rupiah",IF(AK97="","Blm Diisi",""),IF(AJ97="","","-"))))))))</f>
        <v>0</v>
      </c>
      <c r="AM97" s="28"/>
      <c r="AN97" s="36"/>
    </row>
    <row r="98" spans="1:40">
      <c r="A98" t="s">
        <v>20</v>
      </c>
      <c r="B98" s="23"/>
      <c r="C98" s="23"/>
      <c r="D98" s="23"/>
      <c r="E98" s="23"/>
      <c r="F98" s="23" t="s">
        <v>229</v>
      </c>
      <c r="G98" s="23" t="s">
        <v>456</v>
      </c>
      <c r="H98" s="28"/>
      <c r="I98" s="23" t="s">
        <v>457</v>
      </c>
      <c r="J98" s="28" t="s">
        <v>33</v>
      </c>
      <c r="K98" s="29" t="s">
        <v>34</v>
      </c>
      <c r="L98" s="28" t="str">
        <f>IF(J98="Ya/Tidak",IF(K98="Ya",1,IF(K98="Tidak",0,"Blm Diisi")),IF(J98="A/B/C",IF(K98="A",1,IF(K98="B",0.5,IF(K98="C",0,"Blm Diisi"))),IF(J98="A/B/C/D",IF(K98="A",1,IF(K98="B",0.67,IF(K98="C",0.33,IF(K98="D",0,"Blm Diisi")))),IF(J98="A/B/C/D/E",IF(K98="A",1,IF(K98="B",0.75,IF(K98="C",0.5,IF(K98="D",0.25,IF(K98="E",0,"Blm Diisi"))))),IF(J98="%",IF(K98="","Blm Diisi",K98),IF(J98="Jumlah",IF(K98="","Blm Diisi",""),IF(J98="Rupiah",IF(K98="","Blm Diisi",""),IF(J98="","","-"))))))))</f>
        <v>0</v>
      </c>
      <c r="M98" s="28"/>
      <c r="O98" s="30"/>
      <c r="P98" s="30" t="s">
        <v>458</v>
      </c>
      <c r="Q98" s="35" t="s">
        <v>459</v>
      </c>
      <c r="R98"/>
      <c r="S98" s="36"/>
      <c r="T98" s="28" t="s">
        <v>33</v>
      </c>
      <c r="U98" s="28" t="s">
        <v>34</v>
      </c>
      <c r="V98" s="28" t="str">
        <f>IF(T98="Ya/Tidak",IF(U98="Ya",1,IF(U98="Tidak",0,"Blm Diisi")),IF(T98="A/B/C",IF(U98="A",1,IF(U98="B",0.5,IF(U98="C",0,"Blm Diisi"))),IF(T98="A/B/C/D",IF(U98="A",1,IF(U98="B",0.67,IF(U98="C",0.33,IF(U98="D",0,"Blm Diisi")))),IF(T98="A/B/C/D/E",IF(U98="A",1,IF(U98="B",0.75,IF(U98="C",0.5,IF(U98="D",0.25,IF(U98="E",0,"Blm Diisi"))))),IF(T98="%",IF(U98="","Blm Diisi",U98),IF(T98="Jumlah",IF(U98="","Blm Diisi",""),IF(T98="Rupiah",IF(U98="","Blm Diisi",""),IF(T98="","","-"))))))))</f>
        <v>0</v>
      </c>
      <c r="W98" s="28"/>
      <c r="X98" s="36" t="s">
        <v>460</v>
      </c>
      <c r="Y98"/>
      <c r="Z98"/>
      <c r="AA98" s="36"/>
      <c r="AB98" s="28" t="s">
        <v>33</v>
      </c>
      <c r="AC98" s="28"/>
      <c r="AD98" s="28" t="str">
        <f>IF(AB98="Ya/Tidak",IF(AC98="Ya",1,IF(AC98="Tidak",0,"Blm Diisi")),IF(AB98="A/B/C",IF(AC98="A",1,IF(AC98="B",0.5,IF(AC98="C",0,"Blm Diisi"))),IF(AB98="A/B/C/D",IF(AC98="A",1,IF(AC98="B",0.67,IF(AC98="C",0.33,IF(AC98="D",0,"Blm Diisi")))),IF(AB98="A/B/C/D/E",IF(AC98="A",1,IF(AC98="B",0.75,IF(AC98="C",0.5,IF(AC98="D",0.25,IF(AC98="E",0,"Blm Diisi"))))),IF(AB98="%",IF(AC98="","Blm Diisi",AC98),IF(AB98="Jumlah",IF(AC98="","Blm Diisi",""),IF(AB98="Rupiah",IF(AC98="","Blm Diisi",""),IF(AB98="","","-"))))))))</f>
        <v>0</v>
      </c>
      <c r="AE98" s="28"/>
      <c r="AF98" s="36"/>
      <c r="AG98"/>
      <c r="AH98"/>
      <c r="AI98" s="36"/>
      <c r="AJ98" s="28" t="s">
        <v>33</v>
      </c>
      <c r="AK98" s="28"/>
      <c r="AL98" s="28" t="str">
        <f>IF(AJ98="Ya/Tidak",IF(AK98="Ya",1,IF(AK98="Tidak",0,"Blm Diisi")),IF(AJ98="A/B/C",IF(AK98="A",1,IF(AK98="B",0.5,IF(AK98="C",0,"Blm Diisi"))),IF(AJ98="A/B/C/D",IF(AK98="A",1,IF(AK98="B",0.67,IF(AK98="C",0.33,IF(AK98="D",0,"Blm Diisi")))),IF(AJ98="A/B/C/D/E",IF(AK98="A",1,IF(AK98="B",0.75,IF(AK98="C",0.5,IF(AK98="D",0.25,IF(AK98="E",0,"Blm Diisi"))))),IF(AJ98="%",IF(AK98="","Blm Diisi",AK98),IF(AJ98="Jumlah",IF(AK98="","Blm Diisi",""),IF(AJ98="Rupiah",IF(AK98="","Blm Diisi",""),IF(AJ98="","","-"))))))))</f>
        <v>0</v>
      </c>
      <c r="AM98" s="28"/>
      <c r="AN98" s="36"/>
    </row>
    <row r="99" spans="1:40">
      <c r="B99" s="21"/>
      <c r="C99" s="21"/>
      <c r="D99" s="21">
        <v>6.0</v>
      </c>
      <c r="E99" s="21" t="s">
        <v>461</v>
      </c>
      <c r="F99" s="21"/>
      <c r="G99" s="21"/>
      <c r="H99" s="26">
        <v>5</v>
      </c>
      <c r="I99" s="21"/>
      <c r="J99" s="26"/>
      <c r="K99" s="26"/>
      <c r="L99" s="26" t="str">
        <f>SUM(L100,L105,L116,L120,L112)</f>
        <v>0</v>
      </c>
      <c r="M99" s="26" t="str">
        <f>L99/H99</f>
        <v>0</v>
      </c>
      <c r="N99" s="1"/>
      <c r="O99" s="21"/>
      <c r="P99" s="21"/>
      <c r="Q99" s="33"/>
      <c r="R99"/>
      <c r="S99" s="36">
        <v>5</v>
      </c>
      <c r="T99" s="28"/>
      <c r="U99" s="28"/>
      <c r="V99" s="28" t="str">
        <f>SUM(V100,V105,V116,V120,V112)</f>
        <v>0</v>
      </c>
      <c r="W99" s="28" t="str">
        <f>V99/S99</f>
        <v>0</v>
      </c>
      <c r="X99" s="36"/>
      <c r="Y99"/>
      <c r="Z99"/>
      <c r="AA99" s="36">
        <v>5</v>
      </c>
      <c r="AB99" s="28"/>
      <c r="AC99" s="28"/>
      <c r="AD99" s="28" t="str">
        <f>SUM(AD100,AD105,AD116,AD120,AD112)</f>
        <v>0</v>
      </c>
      <c r="AE99" s="28" t="str">
        <f>AD99/AA99</f>
        <v>0</v>
      </c>
      <c r="AF99" s="36"/>
      <c r="AG99"/>
      <c r="AH99"/>
      <c r="AI99" s="36">
        <v>5</v>
      </c>
      <c r="AJ99" s="28"/>
      <c r="AK99" s="28"/>
      <c r="AL99" s="28" t="str">
        <f>SUM(AL100,AL105,AL116,AL120,AL112)</f>
        <v>0</v>
      </c>
      <c r="AM99" s="28" t="str">
        <f>AL99/AI99</f>
        <v>0</v>
      </c>
      <c r="AN99" s="36"/>
    </row>
    <row r="100" spans="1:40">
      <c r="B100" s="22"/>
      <c r="C100" s="22"/>
      <c r="D100" s="22"/>
      <c r="E100" s="22" t="s">
        <v>18</v>
      </c>
      <c r="F100" s="22" t="s">
        <v>462</v>
      </c>
      <c r="G100" s="22"/>
      <c r="H100" s="27">
        <v>1</v>
      </c>
      <c r="I100" s="22"/>
      <c r="J100" s="27"/>
      <c r="K100" s="27"/>
      <c r="L100" s="27" t="str">
        <f>AVERAGE(L101:L104)*H100</f>
        <v>0</v>
      </c>
      <c r="M100" s="27" t="str">
        <f>L100/H100</f>
        <v>0</v>
      </c>
      <c r="N100" s="1"/>
      <c r="O100" s="22"/>
      <c r="P100" s="22"/>
      <c r="Q100" s="34"/>
      <c r="R100"/>
      <c r="S100" s="36">
        <v>1</v>
      </c>
      <c r="T100" s="28"/>
      <c r="U100" s="28"/>
      <c r="V100" s="28" t="str">
        <f>AVERAGE(V101:V104)*S100</f>
        <v>0</v>
      </c>
      <c r="W100" s="28" t="str">
        <f>V100/S100</f>
        <v>0</v>
      </c>
      <c r="X100" s="36"/>
      <c r="Y100"/>
      <c r="Z100"/>
      <c r="AA100" s="36">
        <v>1</v>
      </c>
      <c r="AB100" s="28"/>
      <c r="AC100" s="28"/>
      <c r="AD100" s="28" t="str">
        <f>AVERAGE(AD101:AD104)*AA100</f>
        <v>0</v>
      </c>
      <c r="AE100" s="28" t="str">
        <f>AD100/AA100</f>
        <v>0</v>
      </c>
      <c r="AF100" s="36"/>
      <c r="AG100"/>
      <c r="AH100"/>
      <c r="AI100" s="36">
        <v>1</v>
      </c>
      <c r="AJ100" s="28"/>
      <c r="AK100" s="28"/>
      <c r="AL100" s="28" t="str">
        <f>AVERAGE(AL101:AL104)*AI100</f>
        <v>0</v>
      </c>
      <c r="AM100" s="28" t="str">
        <f>AL100/AI100</f>
        <v>0</v>
      </c>
      <c r="AN100" s="36"/>
    </row>
    <row r="101" spans="1:40">
      <c r="A101" t="s">
        <v>20</v>
      </c>
      <c r="B101" s="23"/>
      <c r="C101" s="23"/>
      <c r="D101" s="23"/>
      <c r="E101" s="23"/>
      <c r="F101" s="23" t="s">
        <v>21</v>
      </c>
      <c r="G101" s="23" t="s">
        <v>463</v>
      </c>
      <c r="H101" s="28"/>
      <c r="I101" s="23" t="s">
        <v>464</v>
      </c>
      <c r="J101" s="28" t="s">
        <v>116</v>
      </c>
      <c r="K101" s="29" t="s">
        <v>34</v>
      </c>
      <c r="L101" s="28" t="str">
        <f>IF(J101="Ya/Tidak",IF(K101="Ya",1,IF(K101="Tidak",0,"Blm Diisi")),IF(J101="A/B/C",IF(K101="A",1,IF(K101="B",0.5,IF(K101="C",0,"Blm Diisi"))),IF(J101="A/B/C/D",IF(K101="A",1,IF(K101="B",0.67,IF(K101="C",0.33,IF(K101="D",0,"Blm Diisi")))),IF(J101="A/B/C/D/E",IF(K101="A",1,IF(K101="B",0.75,IF(K101="C",0.5,IF(K101="D",0.25,IF(K101="E",0,"Blm Diisi"))))),IF(J101="%",IF(K101="","Blm Diisi",K101),IF(J101="Jumlah",IF(K101="","Blm Diisi",""),IF(J101="Rupiah",IF(K101="","Blm Diisi",""),IF(J101="","","-"))))))))</f>
        <v>0</v>
      </c>
      <c r="M101" s="28"/>
      <c r="O101" s="30" t="s">
        <v>465</v>
      </c>
      <c r="P101" s="30" t="s">
        <v>466</v>
      </c>
      <c r="Q101" s="35" t="s">
        <v>467</v>
      </c>
      <c r="R101"/>
      <c r="S101" s="36"/>
      <c r="T101" s="28" t="s">
        <v>116</v>
      </c>
      <c r="U101" s="28" t="s">
        <v>38</v>
      </c>
      <c r="V101" s="28" t="str">
        <f>IF(T101="Ya/Tidak",IF(U101="Ya",1,IF(U101="Tidak",0,"Blm Diisi")),IF(T101="A/B/C",IF(U101="A",1,IF(U101="B",0.5,IF(U101="C",0,"Blm Diisi"))),IF(T101="A/B/C/D",IF(U101="A",1,IF(U101="B",0.67,IF(U101="C",0.33,IF(U101="D",0,"Blm Diisi")))),IF(T101="A/B/C/D/E",IF(U101="A",1,IF(U101="B",0.75,IF(U101="C",0.5,IF(U101="D",0.25,IF(U101="E",0,"Blm Diisi"))))),IF(T101="%",IF(U101="","Blm Diisi",U101),IF(T101="Jumlah",IF(U101="","Blm Diisi",""),IF(T101="Rupiah",IF(U101="","Blm Diisi",""),IF(T101="","","-"))))))))</f>
        <v>0</v>
      </c>
      <c r="W101" s="28"/>
      <c r="X101" s="36" t="s">
        <v>468</v>
      </c>
      <c r="Y101"/>
      <c r="Z101"/>
      <c r="AA101" s="36"/>
      <c r="AB101" s="28" t="s">
        <v>116</v>
      </c>
      <c r="AC101" s="28"/>
      <c r="AD101" s="28" t="str">
        <f>IF(AB101="Ya/Tidak",IF(AC101="Ya",1,IF(AC101="Tidak",0,"Blm Diisi")),IF(AB101="A/B/C",IF(AC101="A",1,IF(AC101="B",0.5,IF(AC101="C",0,"Blm Diisi"))),IF(AB101="A/B/C/D",IF(AC101="A",1,IF(AC101="B",0.67,IF(AC101="C",0.33,IF(AC101="D",0,"Blm Diisi")))),IF(AB101="A/B/C/D/E",IF(AC101="A",1,IF(AC101="B",0.75,IF(AC101="C",0.5,IF(AC101="D",0.25,IF(AC101="E",0,"Blm Diisi"))))),IF(AB101="%",IF(AC101="","Blm Diisi",AC101),IF(AB101="Jumlah",IF(AC101="","Blm Diisi",""),IF(AB101="Rupiah",IF(AC101="","Blm Diisi",""),IF(AB101="","","-"))))))))</f>
        <v>0</v>
      </c>
      <c r="AE101" s="28"/>
      <c r="AF101" s="36"/>
      <c r="AG101"/>
      <c r="AH101"/>
      <c r="AI101" s="36"/>
      <c r="AJ101" s="28" t="s">
        <v>116</v>
      </c>
      <c r="AK101" s="28"/>
      <c r="AL101" s="28" t="str">
        <f>IF(AJ101="Ya/Tidak",IF(AK101="Ya",1,IF(AK101="Tidak",0,"Blm Diisi")),IF(AJ101="A/B/C",IF(AK101="A",1,IF(AK101="B",0.5,IF(AK101="C",0,"Blm Diisi"))),IF(AJ101="A/B/C/D",IF(AK101="A",1,IF(AK101="B",0.67,IF(AK101="C",0.33,IF(AK101="D",0,"Blm Diisi")))),IF(AJ101="A/B/C/D/E",IF(AK101="A",1,IF(AK101="B",0.75,IF(AK101="C",0.5,IF(AK101="D",0.25,IF(AK101="E",0,"Blm Diisi"))))),IF(AJ101="%",IF(AK101="","Blm Diisi",AK101),IF(AJ101="Jumlah",IF(AK101="","Blm Diisi",""),IF(AJ101="Rupiah",IF(AK101="","Blm Diisi",""),IF(AJ101="","","-"))))))))</f>
        <v>0</v>
      </c>
      <c r="AM101" s="28"/>
      <c r="AN101" s="36"/>
    </row>
    <row r="102" spans="1:40">
      <c r="A102" t="s">
        <v>20</v>
      </c>
      <c r="B102" s="23"/>
      <c r="C102" s="23"/>
      <c r="D102" s="23"/>
      <c r="E102" s="23"/>
      <c r="F102" s="23" t="s">
        <v>30</v>
      </c>
      <c r="G102" s="23" t="s">
        <v>469</v>
      </c>
      <c r="H102" s="28"/>
      <c r="I102" s="23" t="s">
        <v>470</v>
      </c>
      <c r="J102" s="28" t="s">
        <v>63</v>
      </c>
      <c r="K102" s="29" t="s">
        <v>34</v>
      </c>
      <c r="L102" s="28" t="str">
        <f>IF(J102="Ya/Tidak",IF(K102="Ya",1,IF(K102="Tidak",0,"Blm Diisi")),IF(J102="A/B/C",IF(K102="A",1,IF(K102="B",0.5,IF(K102="C",0,"Blm Diisi"))),IF(J102="A/B/C/D",IF(K102="A",1,IF(K102="B",0.67,IF(K102="C",0.33,IF(K102="D",0,"Blm Diisi")))),IF(J102="A/B/C/D/E",IF(K102="A",1,IF(K102="B",0.75,IF(K102="C",0.5,IF(K102="D",0.25,IF(K102="E",0,"Blm Diisi"))))),IF(J102="%",IF(K102="","Blm Diisi",K102),IF(J102="Jumlah",IF(K102="","Blm Diisi",""),IF(J102="Rupiah",IF(K102="","Blm Diisi",""),IF(J102="","","-"))))))))</f>
        <v>0</v>
      </c>
      <c r="M102" s="28"/>
      <c r="O102" s="30" t="s">
        <v>471</v>
      </c>
      <c r="P102" s="30" t="s">
        <v>472</v>
      </c>
      <c r="Q102" s="35" t="s">
        <v>473</v>
      </c>
      <c r="R102"/>
      <c r="S102" s="36"/>
      <c r="T102" s="28" t="s">
        <v>63</v>
      </c>
      <c r="U102" s="28" t="s">
        <v>38</v>
      </c>
      <c r="V102" s="28" t="str">
        <f>IF(T102="Ya/Tidak",IF(U102="Ya",1,IF(U102="Tidak",0,"Blm Diisi")),IF(T102="A/B/C",IF(U102="A",1,IF(U102="B",0.5,IF(U102="C",0,"Blm Diisi"))),IF(T102="A/B/C/D",IF(U102="A",1,IF(U102="B",0.67,IF(U102="C",0.33,IF(U102="D",0,"Blm Diisi")))),IF(T102="A/B/C/D/E",IF(U102="A",1,IF(U102="B",0.75,IF(U102="C",0.5,IF(U102="D",0.25,IF(U102="E",0,"Blm Diisi"))))),IF(T102="%",IF(U102="","Blm Diisi",U102),IF(T102="Jumlah",IF(U102="","Blm Diisi",""),IF(T102="Rupiah",IF(U102="","Blm Diisi",""),IF(T102="","","-"))))))))</f>
        <v>0</v>
      </c>
      <c r="W102" s="28"/>
      <c r="X102" s="36" t="s">
        <v>474</v>
      </c>
      <c r="Y102"/>
      <c r="Z102"/>
      <c r="AA102" s="36"/>
      <c r="AB102" s="28" t="s">
        <v>63</v>
      </c>
      <c r="AC102" s="28"/>
      <c r="AD102" s="28" t="str">
        <f>IF(AB102="Ya/Tidak",IF(AC102="Ya",1,IF(AC102="Tidak",0,"Blm Diisi")),IF(AB102="A/B/C",IF(AC102="A",1,IF(AC102="B",0.5,IF(AC102="C",0,"Blm Diisi"))),IF(AB102="A/B/C/D",IF(AC102="A",1,IF(AC102="B",0.67,IF(AC102="C",0.33,IF(AC102="D",0,"Blm Diisi")))),IF(AB102="A/B/C/D/E",IF(AC102="A",1,IF(AC102="B",0.75,IF(AC102="C",0.5,IF(AC102="D",0.25,IF(AC102="E",0,"Blm Diisi"))))),IF(AB102="%",IF(AC102="","Blm Diisi",AC102),IF(AB102="Jumlah",IF(AC102="","Blm Diisi",""),IF(AB102="Rupiah",IF(AC102="","Blm Diisi",""),IF(AB102="","","-"))))))))</f>
        <v>0</v>
      </c>
      <c r="AE102" s="28"/>
      <c r="AF102" s="36"/>
      <c r="AG102"/>
      <c r="AH102"/>
      <c r="AI102" s="36"/>
      <c r="AJ102" s="28" t="s">
        <v>63</v>
      </c>
      <c r="AK102" s="28"/>
      <c r="AL102" s="28" t="str">
        <f>IF(AJ102="Ya/Tidak",IF(AK102="Ya",1,IF(AK102="Tidak",0,"Blm Diisi")),IF(AJ102="A/B/C",IF(AK102="A",1,IF(AK102="B",0.5,IF(AK102="C",0,"Blm Diisi"))),IF(AJ102="A/B/C/D",IF(AK102="A",1,IF(AK102="B",0.67,IF(AK102="C",0.33,IF(AK102="D",0,"Blm Diisi")))),IF(AJ102="A/B/C/D/E",IF(AK102="A",1,IF(AK102="B",0.75,IF(AK102="C",0.5,IF(AK102="D",0.25,IF(AK102="E",0,"Blm Diisi"))))),IF(AJ102="%",IF(AK102="","Blm Diisi",AK102),IF(AJ102="Jumlah",IF(AK102="","Blm Diisi",""),IF(AJ102="Rupiah",IF(AK102="","Blm Diisi",""),IF(AJ102="","","-"))))))))</f>
        <v>0</v>
      </c>
      <c r="AM102" s="28"/>
      <c r="AN102" s="36"/>
    </row>
    <row r="103" spans="1:40">
      <c r="A103" t="s">
        <v>20</v>
      </c>
      <c r="B103" s="23"/>
      <c r="C103" s="23"/>
      <c r="D103" s="23"/>
      <c r="E103" s="23"/>
      <c r="F103" s="23" t="s">
        <v>52</v>
      </c>
      <c r="G103" s="23" t="s">
        <v>475</v>
      </c>
      <c r="H103" s="28"/>
      <c r="I103" s="23" t="s">
        <v>476</v>
      </c>
      <c r="J103" s="28" t="s">
        <v>63</v>
      </c>
      <c r="K103" s="29" t="s">
        <v>34</v>
      </c>
      <c r="L103" s="28" t="str">
        <f>IF(J103="Ya/Tidak",IF(K103="Ya",1,IF(K103="Tidak",0,"Blm Diisi")),IF(J103="A/B/C",IF(K103="A",1,IF(K103="B",0.5,IF(K103="C",0,"Blm Diisi"))),IF(J103="A/B/C/D",IF(K103="A",1,IF(K103="B",0.67,IF(K103="C",0.33,IF(K103="D",0,"Blm Diisi")))),IF(J103="A/B/C/D/E",IF(K103="A",1,IF(K103="B",0.75,IF(K103="C",0.5,IF(K103="D",0.25,IF(K103="E",0,"Blm Diisi"))))),IF(J103="%",IF(K103="","Blm Diisi",K103),IF(J103="Jumlah",IF(K103="","Blm Diisi",""),IF(J103="Rupiah",IF(K103="","Blm Diisi",""),IF(J103="","","-"))))))))</f>
        <v>0</v>
      </c>
      <c r="M103" s="28"/>
      <c r="O103" s="30" t="s">
        <v>477</v>
      </c>
      <c r="P103" s="30" t="s">
        <v>478</v>
      </c>
      <c r="Q103" s="35" t="s">
        <v>479</v>
      </c>
      <c r="R103"/>
      <c r="S103" s="36"/>
      <c r="T103" s="28" t="s">
        <v>63</v>
      </c>
      <c r="U103" s="28" t="s">
        <v>34</v>
      </c>
      <c r="V103" s="28" t="str">
        <f>IF(T103="Ya/Tidak",IF(U103="Ya",1,IF(U103="Tidak",0,"Blm Diisi")),IF(T103="A/B/C",IF(U103="A",1,IF(U103="B",0.5,IF(U103="C",0,"Blm Diisi"))),IF(T103="A/B/C/D",IF(U103="A",1,IF(U103="B",0.67,IF(U103="C",0.33,IF(U103="D",0,"Blm Diisi")))),IF(T103="A/B/C/D/E",IF(U103="A",1,IF(U103="B",0.75,IF(U103="C",0.5,IF(U103="D",0.25,IF(U103="E",0,"Blm Diisi"))))),IF(T103="%",IF(U103="","Blm Diisi",U103),IF(T103="Jumlah",IF(U103="","Blm Diisi",""),IF(T103="Rupiah",IF(U103="","Blm Diisi",""),IF(T103="","","-"))))))))</f>
        <v>0</v>
      </c>
      <c r="W103" s="28"/>
      <c r="X103" s="36" t="s">
        <v>480</v>
      </c>
      <c r="Y103"/>
      <c r="Z103"/>
      <c r="AA103" s="36"/>
      <c r="AB103" s="28" t="s">
        <v>63</v>
      </c>
      <c r="AC103" s="28"/>
      <c r="AD103" s="28" t="str">
        <f>IF(AB103="Ya/Tidak",IF(AC103="Ya",1,IF(AC103="Tidak",0,"Blm Diisi")),IF(AB103="A/B/C",IF(AC103="A",1,IF(AC103="B",0.5,IF(AC103="C",0,"Blm Diisi"))),IF(AB103="A/B/C/D",IF(AC103="A",1,IF(AC103="B",0.67,IF(AC103="C",0.33,IF(AC103="D",0,"Blm Diisi")))),IF(AB103="A/B/C/D/E",IF(AC103="A",1,IF(AC103="B",0.75,IF(AC103="C",0.5,IF(AC103="D",0.25,IF(AC103="E",0,"Blm Diisi"))))),IF(AB103="%",IF(AC103="","Blm Diisi",AC103),IF(AB103="Jumlah",IF(AC103="","Blm Diisi",""),IF(AB103="Rupiah",IF(AC103="","Blm Diisi",""),IF(AB103="","","-"))))))))</f>
        <v>0</v>
      </c>
      <c r="AE103" s="28"/>
      <c r="AF103" s="36"/>
      <c r="AG103"/>
      <c r="AH103"/>
      <c r="AI103" s="36"/>
      <c r="AJ103" s="28" t="s">
        <v>63</v>
      </c>
      <c r="AK103" s="28"/>
      <c r="AL103" s="28" t="str">
        <f>IF(AJ103="Ya/Tidak",IF(AK103="Ya",1,IF(AK103="Tidak",0,"Blm Diisi")),IF(AJ103="A/B/C",IF(AK103="A",1,IF(AK103="B",0.5,IF(AK103="C",0,"Blm Diisi"))),IF(AJ103="A/B/C/D",IF(AK103="A",1,IF(AK103="B",0.67,IF(AK103="C",0.33,IF(AK103="D",0,"Blm Diisi")))),IF(AJ103="A/B/C/D/E",IF(AK103="A",1,IF(AK103="B",0.75,IF(AK103="C",0.5,IF(AK103="D",0.25,IF(AK103="E",0,"Blm Diisi"))))),IF(AJ103="%",IF(AK103="","Blm Diisi",AK103),IF(AJ103="Jumlah",IF(AK103="","Blm Diisi",""),IF(AJ103="Rupiah",IF(AK103="","Blm Diisi",""),IF(AJ103="","","-"))))))))</f>
        <v>0</v>
      </c>
      <c r="AM103" s="28"/>
      <c r="AN103" s="36"/>
    </row>
    <row r="104" spans="1:40">
      <c r="A104" t="s">
        <v>20</v>
      </c>
      <c r="B104" s="23"/>
      <c r="C104" s="23"/>
      <c r="D104" s="23"/>
      <c r="E104" s="23"/>
      <c r="F104" s="23" t="s">
        <v>99</v>
      </c>
      <c r="G104" s="23" t="s">
        <v>481</v>
      </c>
      <c r="H104" s="28"/>
      <c r="I104" s="23" t="s">
        <v>482</v>
      </c>
      <c r="J104" s="28" t="s">
        <v>24</v>
      </c>
      <c r="K104" s="29" t="s">
        <v>25</v>
      </c>
      <c r="L104" s="28" t="str">
        <f>IF(J104="Ya/Tidak",IF(K104="Ya",1,IF(K104="Tidak",0,"Blm Diisi")),IF(J104="A/B/C",IF(K104="A",1,IF(K104="B",0.5,IF(K104="C",0,"Blm Diisi"))),IF(J104="A/B/C/D",IF(K104="A",1,IF(K104="B",0.67,IF(K104="C",0.33,IF(K104="D",0,"Blm Diisi")))),IF(J104="A/B/C/D/E",IF(K104="A",1,IF(K104="B",0.75,IF(K104="C",0.5,IF(K104="D",0.25,IF(K104="E",0,"Blm Diisi"))))),IF(J104="%",IF(K104="","Blm Diisi",K104),IF(J104="Jumlah",IF(K104="","Blm Diisi",""),IF(J104="Rupiah",IF(K104="","Blm Diisi",""),IF(J104="","","-"))))))))</f>
        <v>0</v>
      </c>
      <c r="M104" s="28"/>
      <c r="O104" s="30"/>
      <c r="P104" s="30" t="s">
        <v>483</v>
      </c>
      <c r="Q104" s="35" t="s">
        <v>484</v>
      </c>
      <c r="R104"/>
      <c r="S104" s="36"/>
      <c r="T104" s="28" t="s">
        <v>24</v>
      </c>
      <c r="U104" s="28" t="s">
        <v>25</v>
      </c>
      <c r="V104" s="28" t="str">
        <f>IF(T104="Ya/Tidak",IF(U104="Ya",1,IF(U104="Tidak",0,"Blm Diisi")),IF(T104="A/B/C",IF(U104="A",1,IF(U104="B",0.5,IF(U104="C",0,"Blm Diisi"))),IF(T104="A/B/C/D",IF(U104="A",1,IF(U104="B",0.67,IF(U104="C",0.33,IF(U104="D",0,"Blm Diisi")))),IF(T104="A/B/C/D/E",IF(U104="A",1,IF(U104="B",0.75,IF(U104="C",0.5,IF(U104="D",0.25,IF(U104="E",0,"Blm Diisi"))))),IF(T104="%",IF(U104="","Blm Diisi",U104),IF(T104="Jumlah",IF(U104="","Blm Diisi",""),IF(T104="Rupiah",IF(U104="","Blm Diisi",""),IF(T104="","","-"))))))))</f>
        <v>0</v>
      </c>
      <c r="W104" s="28"/>
      <c r="X104" s="36" t="s">
        <v>481</v>
      </c>
      <c r="Y104"/>
      <c r="Z104"/>
      <c r="AA104" s="36"/>
      <c r="AB104" s="28" t="s">
        <v>24</v>
      </c>
      <c r="AC104" s="28"/>
      <c r="AD104" s="28" t="str">
        <f>IF(AB104="Ya/Tidak",IF(AC104="Ya",1,IF(AC104="Tidak",0,"Blm Diisi")),IF(AB104="A/B/C",IF(AC104="A",1,IF(AC104="B",0.5,IF(AC104="C",0,"Blm Diisi"))),IF(AB104="A/B/C/D",IF(AC104="A",1,IF(AC104="B",0.67,IF(AC104="C",0.33,IF(AC104="D",0,"Blm Diisi")))),IF(AB104="A/B/C/D/E",IF(AC104="A",1,IF(AC104="B",0.75,IF(AC104="C",0.5,IF(AC104="D",0.25,IF(AC104="E",0,"Blm Diisi"))))),IF(AB104="%",IF(AC104="","Blm Diisi",AC104),IF(AB104="Jumlah",IF(AC104="","Blm Diisi",""),IF(AB104="Rupiah",IF(AC104="","Blm Diisi",""),IF(AB104="","","-"))))))))</f>
        <v>0</v>
      </c>
      <c r="AE104" s="28"/>
      <c r="AF104" s="36"/>
      <c r="AG104"/>
      <c r="AH104"/>
      <c r="AI104" s="36"/>
      <c r="AJ104" s="28" t="s">
        <v>24</v>
      </c>
      <c r="AK104" s="28"/>
      <c r="AL104" s="28" t="str">
        <f>IF(AJ104="Ya/Tidak",IF(AK104="Ya",1,IF(AK104="Tidak",0,"Blm Diisi")),IF(AJ104="A/B/C",IF(AK104="A",1,IF(AK104="B",0.5,IF(AK104="C",0,"Blm Diisi"))),IF(AJ104="A/B/C/D",IF(AK104="A",1,IF(AK104="B",0.67,IF(AK104="C",0.33,IF(AK104="D",0,"Blm Diisi")))),IF(AJ104="A/B/C/D/E",IF(AK104="A",1,IF(AK104="B",0.75,IF(AK104="C",0.5,IF(AK104="D",0.25,IF(AK104="E",0,"Blm Diisi"))))),IF(AJ104="%",IF(AK104="","Blm Diisi",AK104),IF(AJ104="Jumlah",IF(AK104="","Blm Diisi",""),IF(AJ104="Rupiah",IF(AK104="","Blm Diisi",""),IF(AJ104="","","-"))))))))</f>
        <v>0</v>
      </c>
      <c r="AM104" s="28"/>
      <c r="AN104" s="36"/>
    </row>
    <row r="105" spans="1:40">
      <c r="B105" s="22"/>
      <c r="C105" s="22"/>
      <c r="D105" s="22"/>
      <c r="E105" s="22" t="s">
        <v>40</v>
      </c>
      <c r="F105" s="22" t="s">
        <v>485</v>
      </c>
      <c r="G105" s="22"/>
      <c r="H105" s="27">
        <v>1</v>
      </c>
      <c r="I105" s="22"/>
      <c r="J105" s="27"/>
      <c r="K105" s="27"/>
      <c r="L105" s="27" t="str">
        <f>AVERAGE(L106:L111)*H105</f>
        <v>0</v>
      </c>
      <c r="M105" s="27" t="str">
        <f>L105/H105</f>
        <v>0</v>
      </c>
      <c r="N105" s="1"/>
      <c r="O105" s="22"/>
      <c r="P105" s="22"/>
      <c r="Q105" s="34"/>
      <c r="R105"/>
      <c r="S105" s="36">
        <v>1</v>
      </c>
      <c r="T105" s="28"/>
      <c r="U105" s="28"/>
      <c r="V105" s="28" t="str">
        <f>AVERAGE(V106:V111)*S105</f>
        <v>0</v>
      </c>
      <c r="W105" s="28" t="str">
        <f>V105/S105</f>
        <v>0</v>
      </c>
      <c r="X105" s="36"/>
      <c r="Y105"/>
      <c r="Z105"/>
      <c r="AA105" s="36">
        <v>1</v>
      </c>
      <c r="AB105" s="28"/>
      <c r="AC105" s="28"/>
      <c r="AD105" s="28" t="str">
        <f>AVERAGE(AD106:AD111)*AA105</f>
        <v>0</v>
      </c>
      <c r="AE105" s="28" t="str">
        <f>AD105/AA105</f>
        <v>0</v>
      </c>
      <c r="AF105" s="36"/>
      <c r="AG105"/>
      <c r="AH105"/>
      <c r="AI105" s="36">
        <v>1</v>
      </c>
      <c r="AJ105" s="28"/>
      <c r="AK105" s="28"/>
      <c r="AL105" s="28" t="str">
        <f>AVERAGE(AL106:AL111)*AI105</f>
        <v>0</v>
      </c>
      <c r="AM105" s="28" t="str">
        <f>AL105/AI105</f>
        <v>0</v>
      </c>
      <c r="AN105" s="36"/>
    </row>
    <row r="106" spans="1:40">
      <c r="A106" t="s">
        <v>20</v>
      </c>
      <c r="B106" s="23"/>
      <c r="C106" s="23"/>
      <c r="D106" s="23"/>
      <c r="E106" s="23"/>
      <c r="F106" s="23" t="s">
        <v>21</v>
      </c>
      <c r="G106" s="23" t="s">
        <v>486</v>
      </c>
      <c r="H106" s="28"/>
      <c r="I106" s="23" t="s">
        <v>487</v>
      </c>
      <c r="J106" s="28" t="s">
        <v>116</v>
      </c>
      <c r="K106" s="29" t="s">
        <v>34</v>
      </c>
      <c r="L106" s="28" t="str">
        <f>IF(J106="Ya/Tidak",IF(K106="Ya",1,IF(K106="Tidak",0,"Blm Diisi")),IF(J106="A/B/C",IF(K106="A",1,IF(K106="B",0.5,IF(K106="C",0,"Blm Diisi"))),IF(J106="A/B/C/D",IF(K106="A",1,IF(K106="B",0.67,IF(K106="C",0.33,IF(K106="D",0,"Blm Diisi")))),IF(J106="A/B/C/D/E",IF(K106="A",1,IF(K106="B",0.75,IF(K106="C",0.5,IF(K106="D",0.25,IF(K106="E",0,"Blm Diisi"))))),IF(J106="%",IF(K106="","Blm Diisi",K106),IF(J106="Jumlah",IF(K106="","Blm Diisi",""),IF(J106="Rupiah",IF(K106="","Blm Diisi",""),IF(J106="","","-"))))))))</f>
        <v>0</v>
      </c>
      <c r="M106" s="28"/>
      <c r="O106" s="30" t="s">
        <v>488</v>
      </c>
      <c r="P106" s="30" t="s">
        <v>489</v>
      </c>
      <c r="Q106" s="35" t="s">
        <v>490</v>
      </c>
      <c r="R106"/>
      <c r="S106" s="36"/>
      <c r="T106" s="28" t="s">
        <v>116</v>
      </c>
      <c r="U106" s="28" t="s">
        <v>34</v>
      </c>
      <c r="V106" s="28" t="str">
        <f>IF(T106="Ya/Tidak",IF(U106="Ya",1,IF(U106="Tidak",0,"Blm Diisi")),IF(T106="A/B/C",IF(U106="A",1,IF(U106="B",0.5,IF(U106="C",0,"Blm Diisi"))),IF(T106="A/B/C/D",IF(U106="A",1,IF(U106="B",0.67,IF(U106="C",0.33,IF(U106="D",0,"Blm Diisi")))),IF(T106="A/B/C/D/E",IF(U106="A",1,IF(U106="B",0.75,IF(U106="C",0.5,IF(U106="D",0.25,IF(U106="E",0,"Blm Diisi"))))),IF(T106="%",IF(U106="","Blm Diisi",U106),IF(T106="Jumlah",IF(U106="","Blm Diisi",""),IF(T106="Rupiah",IF(U106="","Blm Diisi",""),IF(T106="","","-"))))))))</f>
        <v>0</v>
      </c>
      <c r="W106" s="28"/>
      <c r="X106" s="36" t="s">
        <v>491</v>
      </c>
      <c r="Y106"/>
      <c r="Z106"/>
      <c r="AA106" s="36"/>
      <c r="AB106" s="28" t="s">
        <v>116</v>
      </c>
      <c r="AC106" s="28"/>
      <c r="AD106" s="28" t="str">
        <f>IF(AB106="Ya/Tidak",IF(AC106="Ya",1,IF(AC106="Tidak",0,"Blm Diisi")),IF(AB106="A/B/C",IF(AC106="A",1,IF(AC106="B",0.5,IF(AC106="C",0,"Blm Diisi"))),IF(AB106="A/B/C/D",IF(AC106="A",1,IF(AC106="B",0.67,IF(AC106="C",0.33,IF(AC106="D",0,"Blm Diisi")))),IF(AB106="A/B/C/D/E",IF(AC106="A",1,IF(AC106="B",0.75,IF(AC106="C",0.5,IF(AC106="D",0.25,IF(AC106="E",0,"Blm Diisi"))))),IF(AB106="%",IF(AC106="","Blm Diisi",AC106),IF(AB106="Jumlah",IF(AC106="","Blm Diisi",""),IF(AB106="Rupiah",IF(AC106="","Blm Diisi",""),IF(AB106="","","-"))))))))</f>
        <v>0</v>
      </c>
      <c r="AE106" s="28"/>
      <c r="AF106" s="36"/>
      <c r="AG106"/>
      <c r="AH106"/>
      <c r="AI106" s="36"/>
      <c r="AJ106" s="28" t="s">
        <v>116</v>
      </c>
      <c r="AK106" s="28"/>
      <c r="AL106" s="28" t="str">
        <f>IF(AJ106="Ya/Tidak",IF(AK106="Ya",1,IF(AK106="Tidak",0,"Blm Diisi")),IF(AJ106="A/B/C",IF(AK106="A",1,IF(AK106="B",0.5,IF(AK106="C",0,"Blm Diisi"))),IF(AJ106="A/B/C/D",IF(AK106="A",1,IF(AK106="B",0.67,IF(AK106="C",0.33,IF(AK106="D",0,"Blm Diisi")))),IF(AJ106="A/B/C/D/E",IF(AK106="A",1,IF(AK106="B",0.75,IF(AK106="C",0.5,IF(AK106="D",0.25,IF(AK106="E",0,"Blm Diisi"))))),IF(AJ106="%",IF(AK106="","Blm Diisi",AK106),IF(AJ106="Jumlah",IF(AK106="","Blm Diisi",""),IF(AJ106="Rupiah",IF(AK106="","Blm Diisi",""),IF(AJ106="","","-"))))))))</f>
        <v>0</v>
      </c>
      <c r="AM106" s="28"/>
      <c r="AN106" s="36"/>
    </row>
    <row r="107" spans="1:40">
      <c r="A107" t="s">
        <v>20</v>
      </c>
      <c r="B107" s="23"/>
      <c r="C107" s="23"/>
      <c r="D107" s="23"/>
      <c r="E107" s="23"/>
      <c r="F107" s="23" t="s">
        <v>30</v>
      </c>
      <c r="G107" s="23" t="s">
        <v>492</v>
      </c>
      <c r="H107" s="28"/>
      <c r="I107" s="23" t="s">
        <v>493</v>
      </c>
      <c r="J107" s="28" t="s">
        <v>63</v>
      </c>
      <c r="K107" s="29" t="s">
        <v>34</v>
      </c>
      <c r="L107" s="28" t="str">
        <f>IF(J107="Ya/Tidak",IF(K107="Ya",1,IF(K107="Tidak",0,"Blm Diisi")),IF(J107="A/B/C",IF(K107="A",1,IF(K107="B",0.5,IF(K107="C",0,"Blm Diisi"))),IF(J107="A/B/C/D",IF(K107="A",1,IF(K107="B",0.67,IF(K107="C",0.33,IF(K107="D",0,"Blm Diisi")))),IF(J107="A/B/C/D/E",IF(K107="A",1,IF(K107="B",0.75,IF(K107="C",0.5,IF(K107="D",0.25,IF(K107="E",0,"Blm Diisi"))))),IF(J107="%",IF(K107="","Blm Diisi",K107),IF(J107="Jumlah",IF(K107="","Blm Diisi",""),IF(J107="Rupiah",IF(K107="","Blm Diisi",""),IF(J107="","","-"))))))))</f>
        <v>0</v>
      </c>
      <c r="M107" s="28"/>
      <c r="O107" s="30" t="s">
        <v>494</v>
      </c>
      <c r="P107" s="30" t="s">
        <v>495</v>
      </c>
      <c r="Q107" s="35" t="s">
        <v>496</v>
      </c>
      <c r="R107"/>
      <c r="S107" s="36"/>
      <c r="T107" s="28" t="s">
        <v>63</v>
      </c>
      <c r="U107" s="28" t="s">
        <v>34</v>
      </c>
      <c r="V107" s="28" t="str">
        <f>IF(T107="Ya/Tidak",IF(U107="Ya",1,IF(U107="Tidak",0,"Blm Diisi")),IF(T107="A/B/C",IF(U107="A",1,IF(U107="B",0.5,IF(U107="C",0,"Blm Diisi"))),IF(T107="A/B/C/D",IF(U107="A",1,IF(U107="B",0.67,IF(U107="C",0.33,IF(U107="D",0,"Blm Diisi")))),IF(T107="A/B/C/D/E",IF(U107="A",1,IF(U107="B",0.75,IF(U107="C",0.5,IF(U107="D",0.25,IF(U107="E",0,"Blm Diisi"))))),IF(T107="%",IF(U107="","Blm Diisi",U107),IF(T107="Jumlah",IF(U107="","Blm Diisi",""),IF(T107="Rupiah",IF(U107="","Blm Diisi",""),IF(T107="","","-"))))))))</f>
        <v>0</v>
      </c>
      <c r="W107" s="28"/>
      <c r="X107" s="36" t="s">
        <v>492</v>
      </c>
      <c r="Y107"/>
      <c r="Z107"/>
      <c r="AA107" s="36"/>
      <c r="AB107" s="28" t="s">
        <v>63</v>
      </c>
      <c r="AC107" s="28"/>
      <c r="AD107" s="28" t="str">
        <f>IF(AB107="Ya/Tidak",IF(AC107="Ya",1,IF(AC107="Tidak",0,"Blm Diisi")),IF(AB107="A/B/C",IF(AC107="A",1,IF(AC107="B",0.5,IF(AC107="C",0,"Blm Diisi"))),IF(AB107="A/B/C/D",IF(AC107="A",1,IF(AC107="B",0.67,IF(AC107="C",0.33,IF(AC107="D",0,"Blm Diisi")))),IF(AB107="A/B/C/D/E",IF(AC107="A",1,IF(AC107="B",0.75,IF(AC107="C",0.5,IF(AC107="D",0.25,IF(AC107="E",0,"Blm Diisi"))))),IF(AB107="%",IF(AC107="","Blm Diisi",AC107),IF(AB107="Jumlah",IF(AC107="","Blm Diisi",""),IF(AB107="Rupiah",IF(AC107="","Blm Diisi",""),IF(AB107="","","-"))))))))</f>
        <v>0</v>
      </c>
      <c r="AE107" s="28"/>
      <c r="AF107" s="36"/>
      <c r="AG107"/>
      <c r="AH107"/>
      <c r="AI107" s="36"/>
      <c r="AJ107" s="28" t="s">
        <v>63</v>
      </c>
      <c r="AK107" s="28"/>
      <c r="AL107" s="28" t="str">
        <f>IF(AJ107="Ya/Tidak",IF(AK107="Ya",1,IF(AK107="Tidak",0,"Blm Diisi")),IF(AJ107="A/B/C",IF(AK107="A",1,IF(AK107="B",0.5,IF(AK107="C",0,"Blm Diisi"))),IF(AJ107="A/B/C/D",IF(AK107="A",1,IF(AK107="B",0.67,IF(AK107="C",0.33,IF(AK107="D",0,"Blm Diisi")))),IF(AJ107="A/B/C/D/E",IF(AK107="A",1,IF(AK107="B",0.75,IF(AK107="C",0.5,IF(AK107="D",0.25,IF(AK107="E",0,"Blm Diisi"))))),IF(AJ107="%",IF(AK107="","Blm Diisi",AK107),IF(AJ107="Jumlah",IF(AK107="","Blm Diisi",""),IF(AJ107="Rupiah",IF(AK107="","Blm Diisi",""),IF(AJ107="","","-"))))))))</f>
        <v>0</v>
      </c>
      <c r="AM107" s="28"/>
      <c r="AN107" s="36"/>
    </row>
    <row r="108" spans="1:40">
      <c r="A108" t="s">
        <v>20</v>
      </c>
      <c r="B108" s="23"/>
      <c r="C108" s="23"/>
      <c r="D108" s="23"/>
      <c r="E108" s="23"/>
      <c r="F108" s="23" t="s">
        <v>52</v>
      </c>
      <c r="G108" s="23" t="s">
        <v>497</v>
      </c>
      <c r="H108" s="28"/>
      <c r="I108" s="23" t="s">
        <v>498</v>
      </c>
      <c r="J108" s="28" t="s">
        <v>63</v>
      </c>
      <c r="K108" s="29" t="s">
        <v>34</v>
      </c>
      <c r="L108" s="28" t="str">
        <f>IF(J108="Ya/Tidak",IF(K108="Ya",1,IF(K108="Tidak",0,"Blm Diisi")),IF(J108="A/B/C",IF(K108="A",1,IF(K108="B",0.5,IF(K108="C",0,"Blm Diisi"))),IF(J108="A/B/C/D",IF(K108="A",1,IF(K108="B",0.67,IF(K108="C",0.33,IF(K108="D",0,"Blm Diisi")))),IF(J108="A/B/C/D/E",IF(K108="A",1,IF(K108="B",0.75,IF(K108="C",0.5,IF(K108="D",0.25,IF(K108="E",0,"Blm Diisi"))))),IF(J108="%",IF(K108="","Blm Diisi",K108),IF(J108="Jumlah",IF(K108="","Blm Diisi",""),IF(J108="Rupiah",IF(K108="","Blm Diisi",""),IF(J108="","","-"))))))))</f>
        <v>0</v>
      </c>
      <c r="M108" s="28"/>
      <c r="O108" s="30" t="s">
        <v>499</v>
      </c>
      <c r="P108" s="30" t="s">
        <v>500</v>
      </c>
      <c r="Q108" s="35" t="s">
        <v>501</v>
      </c>
      <c r="R108"/>
      <c r="S108" s="36"/>
      <c r="T108" s="28" t="s">
        <v>63</v>
      </c>
      <c r="U108" s="28" t="s">
        <v>34</v>
      </c>
      <c r="V108" s="28" t="str">
        <f>IF(T108="Ya/Tidak",IF(U108="Ya",1,IF(U108="Tidak",0,"Blm Diisi")),IF(T108="A/B/C",IF(U108="A",1,IF(U108="B",0.5,IF(U108="C",0,"Blm Diisi"))),IF(T108="A/B/C/D",IF(U108="A",1,IF(U108="B",0.67,IF(U108="C",0.33,IF(U108="D",0,"Blm Diisi")))),IF(T108="A/B/C/D/E",IF(U108="A",1,IF(U108="B",0.75,IF(U108="C",0.5,IF(U108="D",0.25,IF(U108="E",0,"Blm Diisi"))))),IF(T108="%",IF(U108="","Blm Diisi",U108),IF(T108="Jumlah",IF(U108="","Blm Diisi",""),IF(T108="Rupiah",IF(U108="","Blm Diisi",""),IF(T108="","","-"))))))))</f>
        <v>0</v>
      </c>
      <c r="W108" s="28"/>
      <c r="X108" s="36" t="s">
        <v>502</v>
      </c>
      <c r="Y108"/>
      <c r="Z108"/>
      <c r="AA108" s="36"/>
      <c r="AB108" s="28" t="s">
        <v>63</v>
      </c>
      <c r="AC108" s="28"/>
      <c r="AD108" s="28" t="str">
        <f>IF(AB108="Ya/Tidak",IF(AC108="Ya",1,IF(AC108="Tidak",0,"Blm Diisi")),IF(AB108="A/B/C",IF(AC108="A",1,IF(AC108="B",0.5,IF(AC108="C",0,"Blm Diisi"))),IF(AB108="A/B/C/D",IF(AC108="A",1,IF(AC108="B",0.67,IF(AC108="C",0.33,IF(AC108="D",0,"Blm Diisi")))),IF(AB108="A/B/C/D/E",IF(AC108="A",1,IF(AC108="B",0.75,IF(AC108="C",0.5,IF(AC108="D",0.25,IF(AC108="E",0,"Blm Diisi"))))),IF(AB108="%",IF(AC108="","Blm Diisi",AC108),IF(AB108="Jumlah",IF(AC108="","Blm Diisi",""),IF(AB108="Rupiah",IF(AC108="","Blm Diisi",""),IF(AB108="","","-"))))))))</f>
        <v>0</v>
      </c>
      <c r="AE108" s="28"/>
      <c r="AF108" s="36"/>
      <c r="AG108"/>
      <c r="AH108"/>
      <c r="AI108" s="36"/>
      <c r="AJ108" s="28" t="s">
        <v>63</v>
      </c>
      <c r="AK108" s="28"/>
      <c r="AL108" s="28" t="str">
        <f>IF(AJ108="Ya/Tidak",IF(AK108="Ya",1,IF(AK108="Tidak",0,"Blm Diisi")),IF(AJ108="A/B/C",IF(AK108="A",1,IF(AK108="B",0.5,IF(AK108="C",0,"Blm Diisi"))),IF(AJ108="A/B/C/D",IF(AK108="A",1,IF(AK108="B",0.67,IF(AK108="C",0.33,IF(AK108="D",0,"Blm Diisi")))),IF(AJ108="A/B/C/D/E",IF(AK108="A",1,IF(AK108="B",0.75,IF(AK108="C",0.5,IF(AK108="D",0.25,IF(AK108="E",0,"Blm Diisi"))))),IF(AJ108="%",IF(AK108="","Blm Diisi",AK108),IF(AJ108="Jumlah",IF(AK108="","Blm Diisi",""),IF(AJ108="Rupiah",IF(AK108="","Blm Diisi",""),IF(AJ108="","","-"))))))))</f>
        <v>0</v>
      </c>
      <c r="AM108" s="28"/>
      <c r="AN108" s="36"/>
    </row>
    <row r="109" spans="1:40">
      <c r="A109" t="s">
        <v>20</v>
      </c>
      <c r="B109" s="23"/>
      <c r="C109" s="23"/>
      <c r="D109" s="23"/>
      <c r="E109" s="23"/>
      <c r="F109" s="23" t="s">
        <v>99</v>
      </c>
      <c r="G109" s="23" t="s">
        <v>503</v>
      </c>
      <c r="H109" s="28"/>
      <c r="I109" s="23" t="s">
        <v>504</v>
      </c>
      <c r="J109" s="28" t="s">
        <v>63</v>
      </c>
      <c r="K109" s="29" t="s">
        <v>34</v>
      </c>
      <c r="L109" s="28" t="str">
        <f>IF(J109="Ya/Tidak",IF(K109="Ya",1,IF(K109="Tidak",0,"Blm Diisi")),IF(J109="A/B/C",IF(K109="A",1,IF(K109="B",0.5,IF(K109="C",0,"Blm Diisi"))),IF(J109="A/B/C/D",IF(K109="A",1,IF(K109="B",0.67,IF(K109="C",0.33,IF(K109="D",0,"Blm Diisi")))),IF(J109="A/B/C/D/E",IF(K109="A",1,IF(K109="B",0.75,IF(K109="C",0.5,IF(K109="D",0.25,IF(K109="E",0,"Blm Diisi"))))),IF(J109="%",IF(K109="","Blm Diisi",K109),IF(J109="Jumlah",IF(K109="","Blm Diisi",""),IF(J109="Rupiah",IF(K109="","Blm Diisi",""),IF(J109="","","-"))))))))</f>
        <v>0</v>
      </c>
      <c r="M109" s="28"/>
      <c r="O109" s="30" t="s">
        <v>499</v>
      </c>
      <c r="P109" s="30" t="s">
        <v>505</v>
      </c>
      <c r="Q109" s="35" t="s">
        <v>506</v>
      </c>
      <c r="R109"/>
      <c r="S109" s="36"/>
      <c r="T109" s="28" t="s">
        <v>63</v>
      </c>
      <c r="U109" s="28" t="s">
        <v>507</v>
      </c>
      <c r="V109" s="28" t="str">
        <f>IF(T109="Ya/Tidak",IF(U109="Ya",1,IF(U109="Tidak",0,"Blm Diisi")),IF(T109="A/B/C",IF(U109="A",1,IF(U109="B",0.5,IF(U109="C",0,"Blm Diisi"))),IF(T109="A/B/C/D",IF(U109="A",1,IF(U109="B",0.67,IF(U109="C",0.33,IF(U109="D",0,"Blm Diisi")))),IF(T109="A/B/C/D/E",IF(U109="A",1,IF(U109="B",0.75,IF(U109="C",0.5,IF(U109="D",0.25,IF(U109="E",0,"Blm Diisi"))))),IF(T109="%",IF(U109="","Blm Diisi",U109),IF(T109="Jumlah",IF(U109="","Blm Diisi",""),IF(T109="Rupiah",IF(U109="","Blm Diisi",""),IF(T109="","","-"))))))))</f>
        <v>0</v>
      </c>
      <c r="W109" s="28"/>
      <c r="X109" s="36" t="s">
        <v>508</v>
      </c>
      <c r="Y109"/>
      <c r="Z109"/>
      <c r="AA109" s="36"/>
      <c r="AB109" s="28" t="s">
        <v>63</v>
      </c>
      <c r="AC109" s="28"/>
      <c r="AD109" s="28" t="str">
        <f>IF(AB109="Ya/Tidak",IF(AC109="Ya",1,IF(AC109="Tidak",0,"Blm Diisi")),IF(AB109="A/B/C",IF(AC109="A",1,IF(AC109="B",0.5,IF(AC109="C",0,"Blm Diisi"))),IF(AB109="A/B/C/D",IF(AC109="A",1,IF(AC109="B",0.67,IF(AC109="C",0.33,IF(AC109="D",0,"Blm Diisi")))),IF(AB109="A/B/C/D/E",IF(AC109="A",1,IF(AC109="B",0.75,IF(AC109="C",0.5,IF(AC109="D",0.25,IF(AC109="E",0,"Blm Diisi"))))),IF(AB109="%",IF(AC109="","Blm Diisi",AC109),IF(AB109="Jumlah",IF(AC109="","Blm Diisi",""),IF(AB109="Rupiah",IF(AC109="","Blm Diisi",""),IF(AB109="","","-"))))))))</f>
        <v>0</v>
      </c>
      <c r="AE109" s="28"/>
      <c r="AF109" s="36"/>
      <c r="AG109"/>
      <c r="AH109"/>
      <c r="AI109" s="36"/>
      <c r="AJ109" s="28" t="s">
        <v>63</v>
      </c>
      <c r="AK109" s="28"/>
      <c r="AL109" s="28" t="str">
        <f>IF(AJ109="Ya/Tidak",IF(AK109="Ya",1,IF(AK109="Tidak",0,"Blm Diisi")),IF(AJ109="A/B/C",IF(AK109="A",1,IF(AK109="B",0.5,IF(AK109="C",0,"Blm Diisi"))),IF(AJ109="A/B/C/D",IF(AK109="A",1,IF(AK109="B",0.67,IF(AK109="C",0.33,IF(AK109="D",0,"Blm Diisi")))),IF(AJ109="A/B/C/D/E",IF(AK109="A",1,IF(AK109="B",0.75,IF(AK109="C",0.5,IF(AK109="D",0.25,IF(AK109="E",0,"Blm Diisi"))))),IF(AJ109="%",IF(AK109="","Blm Diisi",AK109),IF(AJ109="Jumlah",IF(AK109="","Blm Diisi",""),IF(AJ109="Rupiah",IF(AK109="","Blm Diisi",""),IF(AJ109="","","-"))))))))</f>
        <v>0</v>
      </c>
      <c r="AM109" s="28"/>
      <c r="AN109" s="36"/>
    </row>
    <row r="110" spans="1:40">
      <c r="A110" t="s">
        <v>20</v>
      </c>
      <c r="B110" s="23"/>
      <c r="C110" s="23"/>
      <c r="D110" s="23"/>
      <c r="E110" s="23"/>
      <c r="F110" s="23" t="s">
        <v>229</v>
      </c>
      <c r="G110" s="23" t="s">
        <v>509</v>
      </c>
      <c r="H110" s="28"/>
      <c r="I110" s="23" t="s">
        <v>510</v>
      </c>
      <c r="J110" s="28" t="s">
        <v>63</v>
      </c>
      <c r="K110" s="29" t="s">
        <v>34</v>
      </c>
      <c r="L110" s="28" t="str">
        <f>IF(J110="Ya/Tidak",IF(K110="Ya",1,IF(K110="Tidak",0,"Blm Diisi")),IF(J110="A/B/C",IF(K110="A",1,IF(K110="B",0.5,IF(K110="C",0,"Blm Diisi"))),IF(J110="A/B/C/D",IF(K110="A",1,IF(K110="B",0.67,IF(K110="C",0.33,IF(K110="D",0,"Blm Diisi")))),IF(J110="A/B/C/D/E",IF(K110="A",1,IF(K110="B",0.75,IF(K110="C",0.5,IF(K110="D",0.25,IF(K110="E",0,"Blm Diisi"))))),IF(J110="%",IF(K110="","Blm Diisi",K110),IF(J110="Jumlah",IF(K110="","Blm Diisi",""),IF(J110="Rupiah",IF(K110="","Blm Diisi",""),IF(J110="","","-"))))))))</f>
        <v>0</v>
      </c>
      <c r="M110" s="28"/>
      <c r="O110" s="30" t="s">
        <v>511</v>
      </c>
      <c r="P110" s="30" t="s">
        <v>512</v>
      </c>
      <c r="Q110" s="35" t="s">
        <v>513</v>
      </c>
      <c r="R110"/>
      <c r="S110" s="36"/>
      <c r="T110" s="28" t="s">
        <v>63</v>
      </c>
      <c r="U110" s="28" t="s">
        <v>34</v>
      </c>
      <c r="V110" s="28" t="str">
        <f>IF(T110="Ya/Tidak",IF(U110="Ya",1,IF(U110="Tidak",0,"Blm Diisi")),IF(T110="A/B/C",IF(U110="A",1,IF(U110="B",0.5,IF(U110="C",0,"Blm Diisi"))),IF(T110="A/B/C/D",IF(U110="A",1,IF(U110="B",0.67,IF(U110="C",0.33,IF(U110="D",0,"Blm Diisi")))),IF(T110="A/B/C/D/E",IF(U110="A",1,IF(U110="B",0.75,IF(U110="C",0.5,IF(U110="D",0.25,IF(U110="E",0,"Blm Diisi"))))),IF(T110="%",IF(U110="","Blm Diisi",U110),IF(T110="Jumlah",IF(U110="","Blm Diisi",""),IF(T110="Rupiah",IF(U110="","Blm Diisi",""),IF(T110="","","-"))))))))</f>
        <v>0</v>
      </c>
      <c r="W110" s="28"/>
      <c r="X110" s="36" t="s">
        <v>514</v>
      </c>
      <c r="Y110"/>
      <c r="Z110"/>
      <c r="AA110" s="36"/>
      <c r="AB110" s="28" t="s">
        <v>63</v>
      </c>
      <c r="AC110" s="28"/>
      <c r="AD110" s="28" t="str">
        <f>IF(AB110="Ya/Tidak",IF(AC110="Ya",1,IF(AC110="Tidak",0,"Blm Diisi")),IF(AB110="A/B/C",IF(AC110="A",1,IF(AC110="B",0.5,IF(AC110="C",0,"Blm Diisi"))),IF(AB110="A/B/C/D",IF(AC110="A",1,IF(AC110="B",0.67,IF(AC110="C",0.33,IF(AC110="D",0,"Blm Diisi")))),IF(AB110="A/B/C/D/E",IF(AC110="A",1,IF(AC110="B",0.75,IF(AC110="C",0.5,IF(AC110="D",0.25,IF(AC110="E",0,"Blm Diisi"))))),IF(AB110="%",IF(AC110="","Blm Diisi",AC110),IF(AB110="Jumlah",IF(AC110="","Blm Diisi",""),IF(AB110="Rupiah",IF(AC110="","Blm Diisi",""),IF(AB110="","","-"))))))))</f>
        <v>0</v>
      </c>
      <c r="AE110" s="28"/>
      <c r="AF110" s="36"/>
      <c r="AG110"/>
      <c r="AH110"/>
      <c r="AI110" s="36"/>
      <c r="AJ110" s="28" t="s">
        <v>63</v>
      </c>
      <c r="AK110" s="28"/>
      <c r="AL110" s="28" t="str">
        <f>IF(AJ110="Ya/Tidak",IF(AK110="Ya",1,IF(AK110="Tidak",0,"Blm Diisi")),IF(AJ110="A/B/C",IF(AK110="A",1,IF(AK110="B",0.5,IF(AK110="C",0,"Blm Diisi"))),IF(AJ110="A/B/C/D",IF(AK110="A",1,IF(AK110="B",0.67,IF(AK110="C",0.33,IF(AK110="D",0,"Blm Diisi")))),IF(AJ110="A/B/C/D/E",IF(AK110="A",1,IF(AK110="B",0.75,IF(AK110="C",0.5,IF(AK110="D",0.25,IF(AK110="E",0,"Blm Diisi"))))),IF(AJ110="%",IF(AK110="","Blm Diisi",AK110),IF(AJ110="Jumlah",IF(AK110="","Blm Diisi",""),IF(AJ110="Rupiah",IF(AK110="","Blm Diisi",""),IF(AJ110="","","-"))))))))</f>
        <v>0</v>
      </c>
      <c r="AM110" s="28"/>
      <c r="AN110" s="36"/>
    </row>
    <row r="111" spans="1:40">
      <c r="A111" t="s">
        <v>20</v>
      </c>
      <c r="B111" s="23"/>
      <c r="C111" s="23"/>
      <c r="D111" s="23"/>
      <c r="E111" s="23"/>
      <c r="F111" s="23" t="s">
        <v>236</v>
      </c>
      <c r="G111" s="23" t="s">
        <v>515</v>
      </c>
      <c r="H111" s="28"/>
      <c r="I111" s="23" t="s">
        <v>516</v>
      </c>
      <c r="J111" s="28" t="s">
        <v>116</v>
      </c>
      <c r="K111" s="29" t="s">
        <v>34</v>
      </c>
      <c r="L111" s="28" t="str">
        <f>IF(J111="Ya/Tidak",IF(K111="Ya",1,IF(K111="Tidak",0,"Blm Diisi")),IF(J111="A/B/C",IF(K111="A",1,IF(K111="B",0.5,IF(K111="C",0,"Blm Diisi"))),IF(J111="A/B/C/D",IF(K111="A",1,IF(K111="B",0.67,IF(K111="C",0.33,IF(K111="D",0,"Blm Diisi")))),IF(J111="A/B/C/D/E",IF(K111="A",1,IF(K111="B",0.75,IF(K111="C",0.5,IF(K111="D",0.25,IF(K111="E",0,"Blm Diisi"))))),IF(J111="%",IF(K111="","Blm Diisi",K111),IF(J111="Jumlah",IF(K111="","Blm Diisi",""),IF(J111="Rupiah",IF(K111="","Blm Diisi",""),IF(J111="","","-"))))))))</f>
        <v>0</v>
      </c>
      <c r="M111" s="28"/>
      <c r="O111" s="30" t="s">
        <v>517</v>
      </c>
      <c r="P111" s="30" t="s">
        <v>518</v>
      </c>
      <c r="Q111" s="35" t="s">
        <v>519</v>
      </c>
      <c r="R111"/>
      <c r="S111" s="36"/>
      <c r="T111" s="28" t="s">
        <v>116</v>
      </c>
      <c r="U111" s="28" t="s">
        <v>38</v>
      </c>
      <c r="V111" s="28" t="str">
        <f>IF(T111="Ya/Tidak",IF(U111="Ya",1,IF(U111="Tidak",0,"Blm Diisi")),IF(T111="A/B/C",IF(U111="A",1,IF(U111="B",0.5,IF(U111="C",0,"Blm Diisi"))),IF(T111="A/B/C/D",IF(U111="A",1,IF(U111="B",0.67,IF(U111="C",0.33,IF(U111="D",0,"Blm Diisi")))),IF(T111="A/B/C/D/E",IF(U111="A",1,IF(U111="B",0.75,IF(U111="C",0.5,IF(U111="D",0.25,IF(U111="E",0,"Blm Diisi"))))),IF(T111="%",IF(U111="","Blm Diisi",U111),IF(T111="Jumlah",IF(U111="","Blm Diisi",""),IF(T111="Rupiah",IF(U111="","Blm Diisi",""),IF(T111="","","-"))))))))</f>
        <v>0</v>
      </c>
      <c r="W111" s="28"/>
      <c r="X111" s="36" t="s">
        <v>520</v>
      </c>
      <c r="Y111"/>
      <c r="Z111"/>
      <c r="AA111" s="36"/>
      <c r="AB111" s="28" t="s">
        <v>116</v>
      </c>
      <c r="AC111" s="28"/>
      <c r="AD111" s="28" t="str">
        <f>IF(AB111="Ya/Tidak",IF(AC111="Ya",1,IF(AC111="Tidak",0,"Blm Diisi")),IF(AB111="A/B/C",IF(AC111="A",1,IF(AC111="B",0.5,IF(AC111="C",0,"Blm Diisi"))),IF(AB111="A/B/C/D",IF(AC111="A",1,IF(AC111="B",0.67,IF(AC111="C",0.33,IF(AC111="D",0,"Blm Diisi")))),IF(AB111="A/B/C/D/E",IF(AC111="A",1,IF(AC111="B",0.75,IF(AC111="C",0.5,IF(AC111="D",0.25,IF(AC111="E",0,"Blm Diisi"))))),IF(AB111="%",IF(AC111="","Blm Diisi",AC111),IF(AB111="Jumlah",IF(AC111="","Blm Diisi",""),IF(AB111="Rupiah",IF(AC111="","Blm Diisi",""),IF(AB111="","","-"))))))))</f>
        <v>0</v>
      </c>
      <c r="AE111" s="28"/>
      <c r="AF111" s="36"/>
      <c r="AG111"/>
      <c r="AH111"/>
      <c r="AI111" s="36"/>
      <c r="AJ111" s="28" t="s">
        <v>116</v>
      </c>
      <c r="AK111" s="28"/>
      <c r="AL111" s="28" t="str">
        <f>IF(AJ111="Ya/Tidak",IF(AK111="Ya",1,IF(AK111="Tidak",0,"Blm Diisi")),IF(AJ111="A/B/C",IF(AK111="A",1,IF(AK111="B",0.5,IF(AK111="C",0,"Blm Diisi"))),IF(AJ111="A/B/C/D",IF(AK111="A",1,IF(AK111="B",0.67,IF(AK111="C",0.33,IF(AK111="D",0,"Blm Diisi")))),IF(AJ111="A/B/C/D/E",IF(AK111="A",1,IF(AK111="B",0.75,IF(AK111="C",0.5,IF(AK111="D",0.25,IF(AK111="E",0,"Blm Diisi"))))),IF(AJ111="%",IF(AK111="","Blm Diisi",AK111),IF(AJ111="Jumlah",IF(AK111="","Blm Diisi",""),IF(AJ111="Rupiah",IF(AK111="","Blm Diisi",""),IF(AJ111="","","-"))))))))</f>
        <v>0</v>
      </c>
      <c r="AM111" s="28"/>
      <c r="AN111" s="36"/>
    </row>
    <row r="112" spans="1:40">
      <c r="B112" s="22"/>
      <c r="C112" s="22"/>
      <c r="D112" s="22"/>
      <c r="E112" s="22" t="s">
        <v>59</v>
      </c>
      <c r="F112" s="22" t="s">
        <v>521</v>
      </c>
      <c r="G112" s="22"/>
      <c r="H112" s="27">
        <v>1</v>
      </c>
      <c r="I112" s="22"/>
      <c r="J112" s="27"/>
      <c r="K112" s="27"/>
      <c r="L112" s="27" t="str">
        <f>AVERAGE(L113:L115)*H112</f>
        <v>0</v>
      </c>
      <c r="M112" s="27" t="str">
        <f>L112/H112</f>
        <v>0</v>
      </c>
      <c r="N112" s="1"/>
      <c r="O112" s="22"/>
      <c r="P112" s="22"/>
      <c r="Q112" s="34"/>
      <c r="R112"/>
      <c r="S112" s="36">
        <v>1</v>
      </c>
      <c r="T112" s="28"/>
      <c r="U112" s="28"/>
      <c r="V112" s="28" t="str">
        <f>AVERAGE(V113:V115)*S112</f>
        <v>0</v>
      </c>
      <c r="W112" s="28" t="str">
        <f>V112/S112</f>
        <v>0</v>
      </c>
      <c r="X112" s="36"/>
      <c r="Y112"/>
      <c r="Z112"/>
      <c r="AA112" s="36">
        <v>1</v>
      </c>
      <c r="AB112" s="28"/>
      <c r="AC112" s="28"/>
      <c r="AD112" s="28" t="str">
        <f>AVERAGE(AD113:AD115)*AA112</f>
        <v>0</v>
      </c>
      <c r="AE112" s="28" t="str">
        <f>AD112/AA112</f>
        <v>0</v>
      </c>
      <c r="AF112" s="36"/>
      <c r="AG112"/>
      <c r="AH112"/>
      <c r="AI112" s="36">
        <v>1</v>
      </c>
      <c r="AJ112" s="28"/>
      <c r="AK112" s="28"/>
      <c r="AL112" s="28" t="str">
        <f>AVERAGE(AL113:AL115)*AI112</f>
        <v>0</v>
      </c>
      <c r="AM112" s="28" t="str">
        <f>AL112/AI112</f>
        <v>0</v>
      </c>
      <c r="AN112" s="36"/>
    </row>
    <row r="113" spans="1:40">
      <c r="A113" t="s">
        <v>20</v>
      </c>
      <c r="B113" s="23"/>
      <c r="C113" s="23"/>
      <c r="D113" s="23"/>
      <c r="E113" s="23"/>
      <c r="F113" s="23" t="s">
        <v>21</v>
      </c>
      <c r="G113" s="23" t="s">
        <v>522</v>
      </c>
      <c r="H113" s="28"/>
      <c r="I113" s="23" t="s">
        <v>523</v>
      </c>
      <c r="J113" s="28" t="s">
        <v>116</v>
      </c>
      <c r="K113" s="29" t="s">
        <v>34</v>
      </c>
      <c r="L113" s="28" t="str">
        <f>IF(J113="Ya/Tidak",IF(K113="Ya",1,IF(K113="Tidak",0,"Blm Diisi")),IF(J113="A/B/C",IF(K113="A",1,IF(K113="B",0.5,IF(K113="C",0,"Blm Diisi"))),IF(J113="A/B/C/D",IF(K113="A",1,IF(K113="B",0.67,IF(K113="C",0.33,IF(K113="D",0,"Blm Diisi")))),IF(J113="A/B/C/D/E",IF(K113="A",1,IF(K113="B",0.75,IF(K113="C",0.5,IF(K113="D",0.25,IF(K113="E",0,"Blm Diisi"))))),IF(J113="%",IF(K113="","Blm Diisi",K113),IF(J113="Jumlah",IF(K113="","Blm Diisi",""),IF(J113="Rupiah",IF(K113="","Blm Diisi",""),IF(J113="","","-"))))))))</f>
        <v>0</v>
      </c>
      <c r="M113" s="28"/>
      <c r="O113" s="30" t="s">
        <v>524</v>
      </c>
      <c r="P113" s="30" t="s">
        <v>525</v>
      </c>
      <c r="Q113" s="35" t="s">
        <v>526</v>
      </c>
      <c r="R113"/>
      <c r="S113" s="36"/>
      <c r="T113" s="28" t="s">
        <v>116</v>
      </c>
      <c r="U113" s="28" t="s">
        <v>34</v>
      </c>
      <c r="V113" s="28" t="str">
        <f>IF(T113="Ya/Tidak",IF(U113="Ya",1,IF(U113="Tidak",0,"Blm Diisi")),IF(T113="A/B/C",IF(U113="A",1,IF(U113="B",0.5,IF(U113="C",0,"Blm Diisi"))),IF(T113="A/B/C/D",IF(U113="A",1,IF(U113="B",0.67,IF(U113="C",0.33,IF(U113="D",0,"Blm Diisi")))),IF(T113="A/B/C/D/E",IF(U113="A",1,IF(U113="B",0.75,IF(U113="C",0.5,IF(U113="D",0.25,IF(U113="E",0,"Blm Diisi"))))),IF(T113="%",IF(U113="","Blm Diisi",U113),IF(T113="Jumlah",IF(U113="","Blm Diisi",""),IF(T113="Rupiah",IF(U113="","Blm Diisi",""),IF(T113="","","-"))))))))</f>
        <v>0</v>
      </c>
      <c r="W113" s="28"/>
      <c r="X113" s="36" t="s">
        <v>527</v>
      </c>
      <c r="Y113"/>
      <c r="Z113"/>
      <c r="AA113" s="36"/>
      <c r="AB113" s="28" t="s">
        <v>116</v>
      </c>
      <c r="AC113" s="28"/>
      <c r="AD113" s="28" t="str">
        <f>IF(AB113="Ya/Tidak",IF(AC113="Ya",1,IF(AC113="Tidak",0,"Blm Diisi")),IF(AB113="A/B/C",IF(AC113="A",1,IF(AC113="B",0.5,IF(AC113="C",0,"Blm Diisi"))),IF(AB113="A/B/C/D",IF(AC113="A",1,IF(AC113="B",0.67,IF(AC113="C",0.33,IF(AC113="D",0,"Blm Diisi")))),IF(AB113="A/B/C/D/E",IF(AC113="A",1,IF(AC113="B",0.75,IF(AC113="C",0.5,IF(AC113="D",0.25,IF(AC113="E",0,"Blm Diisi"))))),IF(AB113="%",IF(AC113="","Blm Diisi",AC113),IF(AB113="Jumlah",IF(AC113="","Blm Diisi",""),IF(AB113="Rupiah",IF(AC113="","Blm Diisi",""),IF(AB113="","","-"))))))))</f>
        <v>0</v>
      </c>
      <c r="AE113" s="28"/>
      <c r="AF113" s="36"/>
      <c r="AG113"/>
      <c r="AH113"/>
      <c r="AI113" s="36"/>
      <c r="AJ113" s="28" t="s">
        <v>116</v>
      </c>
      <c r="AK113" s="28"/>
      <c r="AL113" s="28" t="str">
        <f>IF(AJ113="Ya/Tidak",IF(AK113="Ya",1,IF(AK113="Tidak",0,"Blm Diisi")),IF(AJ113="A/B/C",IF(AK113="A",1,IF(AK113="B",0.5,IF(AK113="C",0,"Blm Diisi"))),IF(AJ113="A/B/C/D",IF(AK113="A",1,IF(AK113="B",0.67,IF(AK113="C",0.33,IF(AK113="D",0,"Blm Diisi")))),IF(AJ113="A/B/C/D/E",IF(AK113="A",1,IF(AK113="B",0.75,IF(AK113="C",0.5,IF(AK113="D",0.25,IF(AK113="E",0,"Blm Diisi"))))),IF(AJ113="%",IF(AK113="","Blm Diisi",AK113),IF(AJ113="Jumlah",IF(AK113="","Blm Diisi",""),IF(AJ113="Rupiah",IF(AK113="","Blm Diisi",""),IF(AJ113="","","-"))))))))</f>
        <v>0</v>
      </c>
      <c r="AM113" s="28"/>
      <c r="AN113" s="36"/>
    </row>
    <row r="114" spans="1:40">
      <c r="A114" t="s">
        <v>20</v>
      </c>
      <c r="B114" s="23"/>
      <c r="C114" s="23"/>
      <c r="D114" s="23"/>
      <c r="E114" s="23"/>
      <c r="F114" s="23" t="s">
        <v>30</v>
      </c>
      <c r="G114" s="23" t="s">
        <v>528</v>
      </c>
      <c r="H114" s="28"/>
      <c r="I114" s="23" t="s">
        <v>529</v>
      </c>
      <c r="J114" s="28" t="s">
        <v>33</v>
      </c>
      <c r="K114" s="29" t="s">
        <v>34</v>
      </c>
      <c r="L114" s="28" t="str">
        <f>IF(J114="Ya/Tidak",IF(K114="Ya",1,IF(K114="Tidak",0,"Blm Diisi")),IF(J114="A/B/C",IF(K114="A",1,IF(K114="B",0.5,IF(K114="C",0,"Blm Diisi"))),IF(J114="A/B/C/D",IF(K114="A",1,IF(K114="B",0.67,IF(K114="C",0.33,IF(K114="D",0,"Blm Diisi")))),IF(J114="A/B/C/D/E",IF(K114="A",1,IF(K114="B",0.75,IF(K114="C",0.5,IF(K114="D",0.25,IF(K114="E",0,"Blm Diisi"))))),IF(J114="%",IF(K114="","Blm Diisi",K114),IF(J114="Jumlah",IF(K114="","Blm Diisi",""),IF(J114="Rupiah",IF(K114="","Blm Diisi",""),IF(J114="","","-"))))))))</f>
        <v>0</v>
      </c>
      <c r="M114" s="28"/>
      <c r="O114" s="30" t="s">
        <v>530</v>
      </c>
      <c r="P114" s="30" t="s">
        <v>531</v>
      </c>
      <c r="Q114" s="35" t="s">
        <v>532</v>
      </c>
      <c r="R114"/>
      <c r="S114" s="36"/>
      <c r="T114" s="28" t="s">
        <v>33</v>
      </c>
      <c r="U114" s="28" t="s">
        <v>34</v>
      </c>
      <c r="V114" s="28" t="str">
        <f>IF(T114="Ya/Tidak",IF(U114="Ya",1,IF(U114="Tidak",0,"Blm Diisi")),IF(T114="A/B/C",IF(U114="A",1,IF(U114="B",0.5,IF(U114="C",0,"Blm Diisi"))),IF(T114="A/B/C/D",IF(U114="A",1,IF(U114="B",0.67,IF(U114="C",0.33,IF(U114="D",0,"Blm Diisi")))),IF(T114="A/B/C/D/E",IF(U114="A",1,IF(U114="B",0.75,IF(U114="C",0.5,IF(U114="D",0.25,IF(U114="E",0,"Blm Diisi"))))),IF(T114="%",IF(U114="","Blm Diisi",U114),IF(T114="Jumlah",IF(U114="","Blm Diisi",""),IF(T114="Rupiah",IF(U114="","Blm Diisi",""),IF(T114="","","-"))))))))</f>
        <v>0</v>
      </c>
      <c r="W114" s="28"/>
      <c r="X114" s="36" t="s">
        <v>533</v>
      </c>
      <c r="Y114"/>
      <c r="Z114"/>
      <c r="AA114" s="36"/>
      <c r="AB114" s="28" t="s">
        <v>33</v>
      </c>
      <c r="AC114" s="28"/>
      <c r="AD114" s="28" t="str">
        <f>IF(AB114="Ya/Tidak",IF(AC114="Ya",1,IF(AC114="Tidak",0,"Blm Diisi")),IF(AB114="A/B/C",IF(AC114="A",1,IF(AC114="B",0.5,IF(AC114="C",0,"Blm Diisi"))),IF(AB114="A/B/C/D",IF(AC114="A",1,IF(AC114="B",0.67,IF(AC114="C",0.33,IF(AC114="D",0,"Blm Diisi")))),IF(AB114="A/B/C/D/E",IF(AC114="A",1,IF(AC114="B",0.75,IF(AC114="C",0.5,IF(AC114="D",0.25,IF(AC114="E",0,"Blm Diisi"))))),IF(AB114="%",IF(AC114="","Blm Diisi",AC114),IF(AB114="Jumlah",IF(AC114="","Blm Diisi",""),IF(AB114="Rupiah",IF(AC114="","Blm Diisi",""),IF(AB114="","","-"))))))))</f>
        <v>0</v>
      </c>
      <c r="AE114" s="28"/>
      <c r="AF114" s="36"/>
      <c r="AG114"/>
      <c r="AH114"/>
      <c r="AI114" s="36"/>
      <c r="AJ114" s="28" t="s">
        <v>33</v>
      </c>
      <c r="AK114" s="28"/>
      <c r="AL114" s="28" t="str">
        <f>IF(AJ114="Ya/Tidak",IF(AK114="Ya",1,IF(AK114="Tidak",0,"Blm Diisi")),IF(AJ114="A/B/C",IF(AK114="A",1,IF(AK114="B",0.5,IF(AK114="C",0,"Blm Diisi"))),IF(AJ114="A/B/C/D",IF(AK114="A",1,IF(AK114="B",0.67,IF(AK114="C",0.33,IF(AK114="D",0,"Blm Diisi")))),IF(AJ114="A/B/C/D/E",IF(AK114="A",1,IF(AK114="B",0.75,IF(AK114="C",0.5,IF(AK114="D",0.25,IF(AK114="E",0,"Blm Diisi"))))),IF(AJ114="%",IF(AK114="","Blm Diisi",AK114),IF(AJ114="Jumlah",IF(AK114="","Blm Diisi",""),IF(AJ114="Rupiah",IF(AK114="","Blm Diisi",""),IF(AJ114="","","-"))))))))</f>
        <v>0</v>
      </c>
      <c r="AM114" s="28"/>
      <c r="AN114" s="36"/>
    </row>
    <row r="115" spans="1:40">
      <c r="A115" t="s">
        <v>20</v>
      </c>
      <c r="B115" s="23"/>
      <c r="C115" s="23"/>
      <c r="D115" s="23"/>
      <c r="E115" s="23"/>
      <c r="F115" s="23" t="s">
        <v>52</v>
      </c>
      <c r="G115" s="23" t="s">
        <v>534</v>
      </c>
      <c r="H115" s="28"/>
      <c r="I115" s="23" t="s">
        <v>535</v>
      </c>
      <c r="J115" s="28" t="s">
        <v>33</v>
      </c>
      <c r="K115" s="29" t="s">
        <v>34</v>
      </c>
      <c r="L115" s="28" t="str">
        <f>IF(J115="Ya/Tidak",IF(K115="Ya",1,IF(K115="Tidak",0,"Blm Diisi")),IF(J115="A/B/C",IF(K115="A",1,IF(K115="B",0.5,IF(K115="C",0,"Blm Diisi"))),IF(J115="A/B/C/D",IF(K115="A",1,IF(K115="B",0.67,IF(K115="C",0.33,IF(K115="D",0,"Blm Diisi")))),IF(J115="A/B/C/D/E",IF(K115="A",1,IF(K115="B",0.75,IF(K115="C",0.5,IF(K115="D",0.25,IF(K115="E",0,"Blm Diisi"))))),IF(J115="%",IF(K115="","Blm Diisi",K115),IF(J115="Jumlah",IF(K115="","Blm Diisi",""),IF(J115="Rupiah",IF(K115="","Blm Diisi",""),IF(J115="","","-"))))))))</f>
        <v>0</v>
      </c>
      <c r="M115" s="28"/>
      <c r="O115" s="30" t="s">
        <v>536</v>
      </c>
      <c r="P115" s="30" t="s">
        <v>537</v>
      </c>
      <c r="Q115" s="35" t="s">
        <v>538</v>
      </c>
      <c r="R115"/>
      <c r="S115" s="36"/>
      <c r="T115" s="28" t="s">
        <v>33</v>
      </c>
      <c r="U115" s="28" t="s">
        <v>34</v>
      </c>
      <c r="V115" s="28" t="str">
        <f>IF(T115="Ya/Tidak",IF(U115="Ya",1,IF(U115="Tidak",0,"Blm Diisi")),IF(T115="A/B/C",IF(U115="A",1,IF(U115="B",0.5,IF(U115="C",0,"Blm Diisi"))),IF(T115="A/B/C/D",IF(U115="A",1,IF(U115="B",0.67,IF(U115="C",0.33,IF(U115="D",0,"Blm Diisi")))),IF(T115="A/B/C/D/E",IF(U115="A",1,IF(U115="B",0.75,IF(U115="C",0.5,IF(U115="D",0.25,IF(U115="E",0,"Blm Diisi"))))),IF(T115="%",IF(U115="","Blm Diisi",U115),IF(T115="Jumlah",IF(U115="","Blm Diisi",""),IF(T115="Rupiah",IF(U115="","Blm Diisi",""),IF(T115="","","-"))))))))</f>
        <v>0</v>
      </c>
      <c r="W115" s="28"/>
      <c r="X115" s="36" t="s">
        <v>539</v>
      </c>
      <c r="Y115"/>
      <c r="Z115"/>
      <c r="AA115" s="36"/>
      <c r="AB115" s="28" t="s">
        <v>33</v>
      </c>
      <c r="AC115" s="28"/>
      <c r="AD115" s="28" t="str">
        <f>IF(AB115="Ya/Tidak",IF(AC115="Ya",1,IF(AC115="Tidak",0,"Blm Diisi")),IF(AB115="A/B/C",IF(AC115="A",1,IF(AC115="B",0.5,IF(AC115="C",0,"Blm Diisi"))),IF(AB115="A/B/C/D",IF(AC115="A",1,IF(AC115="B",0.67,IF(AC115="C",0.33,IF(AC115="D",0,"Blm Diisi")))),IF(AB115="A/B/C/D/E",IF(AC115="A",1,IF(AC115="B",0.75,IF(AC115="C",0.5,IF(AC115="D",0.25,IF(AC115="E",0,"Blm Diisi"))))),IF(AB115="%",IF(AC115="","Blm Diisi",AC115),IF(AB115="Jumlah",IF(AC115="","Blm Diisi",""),IF(AB115="Rupiah",IF(AC115="","Blm Diisi",""),IF(AB115="","","-"))))))))</f>
        <v>0</v>
      </c>
      <c r="AE115" s="28"/>
      <c r="AF115" s="36"/>
      <c r="AG115"/>
      <c r="AH115"/>
      <c r="AI115" s="36"/>
      <c r="AJ115" s="28" t="s">
        <v>33</v>
      </c>
      <c r="AK115" s="28"/>
      <c r="AL115" s="28" t="str">
        <f>IF(AJ115="Ya/Tidak",IF(AK115="Ya",1,IF(AK115="Tidak",0,"Blm Diisi")),IF(AJ115="A/B/C",IF(AK115="A",1,IF(AK115="B",0.5,IF(AK115="C",0,"Blm Diisi"))),IF(AJ115="A/B/C/D",IF(AK115="A",1,IF(AK115="B",0.67,IF(AK115="C",0.33,IF(AK115="D",0,"Blm Diisi")))),IF(AJ115="A/B/C/D/E",IF(AK115="A",1,IF(AK115="B",0.75,IF(AK115="C",0.5,IF(AK115="D",0.25,IF(AK115="E",0,"Blm Diisi"))))),IF(AJ115="%",IF(AK115="","Blm Diisi",AK115),IF(AJ115="Jumlah",IF(AK115="","Blm Diisi",""),IF(AJ115="Rupiah",IF(AK115="","Blm Diisi",""),IF(AJ115="","","-"))))))))</f>
        <v>0</v>
      </c>
      <c r="AM115" s="28"/>
      <c r="AN115" s="36"/>
    </row>
    <row r="116" spans="1:40">
      <c r="B116" s="22"/>
      <c r="C116" s="22"/>
      <c r="D116" s="22"/>
      <c r="E116" s="22" t="s">
        <v>80</v>
      </c>
      <c r="F116" s="22" t="s">
        <v>540</v>
      </c>
      <c r="G116" s="22"/>
      <c r="H116" s="27">
        <v>1</v>
      </c>
      <c r="I116" s="22"/>
      <c r="J116" s="27"/>
      <c r="K116" s="27"/>
      <c r="L116" s="27" t="str">
        <f>AVERAGE(L117:L119)*H116</f>
        <v>0</v>
      </c>
      <c r="M116" s="27" t="str">
        <f>L116/H116</f>
        <v>0</v>
      </c>
      <c r="N116" s="1"/>
      <c r="O116" s="22"/>
      <c r="P116" s="22"/>
      <c r="Q116" s="34"/>
      <c r="R116"/>
      <c r="S116" s="36">
        <v>1</v>
      </c>
      <c r="T116" s="28"/>
      <c r="U116" s="28"/>
      <c r="V116" s="28" t="str">
        <f>AVERAGE(V117:V119)*S116</f>
        <v>0</v>
      </c>
      <c r="W116" s="28" t="str">
        <f>V116/S116</f>
        <v>0</v>
      </c>
      <c r="X116" s="36"/>
      <c r="Y116"/>
      <c r="Z116"/>
      <c r="AA116" s="36">
        <v>1</v>
      </c>
      <c r="AB116" s="28"/>
      <c r="AC116" s="28"/>
      <c r="AD116" s="28" t="str">
        <f>AVERAGE(AD117:AD119)*AA116</f>
        <v>0</v>
      </c>
      <c r="AE116" s="28" t="str">
        <f>AD116/AA116</f>
        <v>0</v>
      </c>
      <c r="AF116" s="36"/>
      <c r="AG116"/>
      <c r="AH116"/>
      <c r="AI116" s="36">
        <v>1</v>
      </c>
      <c r="AJ116" s="28"/>
      <c r="AK116" s="28"/>
      <c r="AL116" s="28" t="str">
        <f>AVERAGE(AL117:AL119)*AI116</f>
        <v>0</v>
      </c>
      <c r="AM116" s="28" t="str">
        <f>AL116/AI116</f>
        <v>0</v>
      </c>
      <c r="AN116" s="36"/>
    </row>
    <row r="117" spans="1:40">
      <c r="A117" t="s">
        <v>20</v>
      </c>
      <c r="B117" s="23"/>
      <c r="C117" s="23"/>
      <c r="D117" s="23"/>
      <c r="E117" s="23"/>
      <c r="F117" s="23" t="s">
        <v>21</v>
      </c>
      <c r="G117" s="23" t="s">
        <v>541</v>
      </c>
      <c r="H117" s="28"/>
      <c r="I117" s="23" t="s">
        <v>542</v>
      </c>
      <c r="J117" s="28" t="s">
        <v>116</v>
      </c>
      <c r="K117" s="29" t="s">
        <v>34</v>
      </c>
      <c r="L117" s="28" t="str">
        <f>IF(J117="Ya/Tidak",IF(K117="Ya",1,IF(K117="Tidak",0,"Blm Diisi")),IF(J117="A/B/C",IF(K117="A",1,IF(K117="B",0.5,IF(K117="C",0,"Blm Diisi"))),IF(J117="A/B/C/D",IF(K117="A",1,IF(K117="B",0.67,IF(K117="C",0.33,IF(K117="D",0,"Blm Diisi")))),IF(J117="A/B/C/D/E",IF(K117="A",1,IF(K117="B",0.75,IF(K117="C",0.5,IF(K117="D",0.25,IF(K117="E",0,"Blm Diisi"))))),IF(J117="%",IF(K117="","Blm Diisi",K117),IF(J117="Jumlah",IF(K117="","Blm Diisi",""),IF(J117="Rupiah",IF(K117="","Blm Diisi",""),IF(J117="","","-"))))))))</f>
        <v>0</v>
      </c>
      <c r="M117" s="28"/>
      <c r="O117" s="30" t="s">
        <v>543</v>
      </c>
      <c r="P117" s="30" t="s">
        <v>544</v>
      </c>
      <c r="Q117" s="35" t="s">
        <v>545</v>
      </c>
      <c r="R117"/>
      <c r="S117" s="36"/>
      <c r="T117" s="28" t="s">
        <v>116</v>
      </c>
      <c r="U117" s="28" t="s">
        <v>38</v>
      </c>
      <c r="V117" s="28" t="str">
        <f>IF(T117="Ya/Tidak",IF(U117="Ya",1,IF(U117="Tidak",0,"Blm Diisi")),IF(T117="A/B/C",IF(U117="A",1,IF(U117="B",0.5,IF(U117="C",0,"Blm Diisi"))),IF(T117="A/B/C/D",IF(U117="A",1,IF(U117="B",0.67,IF(U117="C",0.33,IF(U117="D",0,"Blm Diisi")))),IF(T117="A/B/C/D/E",IF(U117="A",1,IF(U117="B",0.75,IF(U117="C",0.5,IF(U117="D",0.25,IF(U117="E",0,"Blm Diisi"))))),IF(T117="%",IF(U117="","Blm Diisi",U117),IF(T117="Jumlah",IF(U117="","Blm Diisi",""),IF(T117="Rupiah",IF(U117="","Blm Diisi",""),IF(T117="","","-"))))))))</f>
        <v>0</v>
      </c>
      <c r="W117" s="28"/>
      <c r="X117" s="36" t="s">
        <v>546</v>
      </c>
      <c r="Y117"/>
      <c r="Z117"/>
      <c r="AA117" s="36"/>
      <c r="AB117" s="28" t="s">
        <v>116</v>
      </c>
      <c r="AC117" s="28"/>
      <c r="AD117" s="28" t="str">
        <f>IF(AB117="Ya/Tidak",IF(AC117="Ya",1,IF(AC117="Tidak",0,"Blm Diisi")),IF(AB117="A/B/C",IF(AC117="A",1,IF(AC117="B",0.5,IF(AC117="C",0,"Blm Diisi"))),IF(AB117="A/B/C/D",IF(AC117="A",1,IF(AC117="B",0.67,IF(AC117="C",0.33,IF(AC117="D",0,"Blm Diisi")))),IF(AB117="A/B/C/D/E",IF(AC117="A",1,IF(AC117="B",0.75,IF(AC117="C",0.5,IF(AC117="D",0.25,IF(AC117="E",0,"Blm Diisi"))))),IF(AB117="%",IF(AC117="","Blm Diisi",AC117),IF(AB117="Jumlah",IF(AC117="","Blm Diisi",""),IF(AB117="Rupiah",IF(AC117="","Blm Diisi",""),IF(AB117="","","-"))))))))</f>
        <v>0</v>
      </c>
      <c r="AE117" s="28"/>
      <c r="AF117" s="36"/>
      <c r="AG117"/>
      <c r="AH117"/>
      <c r="AI117" s="36"/>
      <c r="AJ117" s="28" t="s">
        <v>116</v>
      </c>
      <c r="AK117" s="28"/>
      <c r="AL117" s="28" t="str">
        <f>IF(AJ117="Ya/Tidak",IF(AK117="Ya",1,IF(AK117="Tidak",0,"Blm Diisi")),IF(AJ117="A/B/C",IF(AK117="A",1,IF(AK117="B",0.5,IF(AK117="C",0,"Blm Diisi"))),IF(AJ117="A/B/C/D",IF(AK117="A",1,IF(AK117="B",0.67,IF(AK117="C",0.33,IF(AK117="D",0,"Blm Diisi")))),IF(AJ117="A/B/C/D/E",IF(AK117="A",1,IF(AK117="B",0.75,IF(AK117="C",0.5,IF(AK117="D",0.25,IF(AK117="E",0,"Blm Diisi"))))),IF(AJ117="%",IF(AK117="","Blm Diisi",AK117),IF(AJ117="Jumlah",IF(AK117="","Blm Diisi",""),IF(AJ117="Rupiah",IF(AK117="","Blm Diisi",""),IF(AJ117="","","-"))))))))</f>
        <v>0</v>
      </c>
      <c r="AM117" s="28"/>
      <c r="AN117" s="36"/>
    </row>
    <row r="118" spans="1:40">
      <c r="A118" t="s">
        <v>20</v>
      </c>
      <c r="B118" s="23"/>
      <c r="C118" s="23"/>
      <c r="D118" s="23"/>
      <c r="E118" s="23"/>
      <c r="F118" s="23" t="s">
        <v>30</v>
      </c>
      <c r="G118" s="23" t="s">
        <v>547</v>
      </c>
      <c r="H118" s="28"/>
      <c r="I118" s="23" t="s">
        <v>548</v>
      </c>
      <c r="J118" s="28" t="s">
        <v>33</v>
      </c>
      <c r="K118" s="29" t="s">
        <v>34</v>
      </c>
      <c r="L118" s="28" t="str">
        <f>IF(J118="Ya/Tidak",IF(K118="Ya",1,IF(K118="Tidak",0,"Blm Diisi")),IF(J118="A/B/C",IF(K118="A",1,IF(K118="B",0.5,IF(K118="C",0,"Blm Diisi"))),IF(J118="A/B/C/D",IF(K118="A",1,IF(K118="B",0.67,IF(K118="C",0.33,IF(K118="D",0,"Blm Diisi")))),IF(J118="A/B/C/D/E",IF(K118="A",1,IF(K118="B",0.75,IF(K118="C",0.5,IF(K118="D",0.25,IF(K118="E",0,"Blm Diisi"))))),IF(J118="%",IF(K118="","Blm Diisi",K118),IF(J118="Jumlah",IF(K118="","Blm Diisi",""),IF(J118="Rupiah",IF(K118="","Blm Diisi",""),IF(J118="","","-"))))))))</f>
        <v>0</v>
      </c>
      <c r="M118" s="28"/>
      <c r="O118" s="30" t="s">
        <v>549</v>
      </c>
      <c r="P118" s="30" t="s">
        <v>550</v>
      </c>
      <c r="Q118" s="35" t="s">
        <v>551</v>
      </c>
      <c r="R118"/>
      <c r="S118" s="36"/>
      <c r="T118" s="28" t="s">
        <v>33</v>
      </c>
      <c r="U118" s="28" t="s">
        <v>34</v>
      </c>
      <c r="V118" s="28" t="str">
        <f>IF(T118="Ya/Tidak",IF(U118="Ya",1,IF(U118="Tidak",0,"Blm Diisi")),IF(T118="A/B/C",IF(U118="A",1,IF(U118="B",0.5,IF(U118="C",0,"Blm Diisi"))),IF(T118="A/B/C/D",IF(U118="A",1,IF(U118="B",0.67,IF(U118="C",0.33,IF(U118="D",0,"Blm Diisi")))),IF(T118="A/B/C/D/E",IF(U118="A",1,IF(U118="B",0.75,IF(U118="C",0.5,IF(U118="D",0.25,IF(U118="E",0,"Blm Diisi"))))),IF(T118="%",IF(U118="","Blm Diisi",U118),IF(T118="Jumlah",IF(U118="","Blm Diisi",""),IF(T118="Rupiah",IF(U118="","Blm Diisi",""),IF(T118="","","-"))))))))</f>
        <v>0</v>
      </c>
      <c r="W118" s="28"/>
      <c r="X118" s="36" t="s">
        <v>552</v>
      </c>
      <c r="Y118"/>
      <c r="Z118"/>
      <c r="AA118" s="36"/>
      <c r="AB118" s="28" t="s">
        <v>33</v>
      </c>
      <c r="AC118" s="28"/>
      <c r="AD118" s="28" t="str">
        <f>IF(AB118="Ya/Tidak",IF(AC118="Ya",1,IF(AC118="Tidak",0,"Blm Diisi")),IF(AB118="A/B/C",IF(AC118="A",1,IF(AC118="B",0.5,IF(AC118="C",0,"Blm Diisi"))),IF(AB118="A/B/C/D",IF(AC118="A",1,IF(AC118="B",0.67,IF(AC118="C",0.33,IF(AC118="D",0,"Blm Diisi")))),IF(AB118="A/B/C/D/E",IF(AC118="A",1,IF(AC118="B",0.75,IF(AC118="C",0.5,IF(AC118="D",0.25,IF(AC118="E",0,"Blm Diisi"))))),IF(AB118="%",IF(AC118="","Blm Diisi",AC118),IF(AB118="Jumlah",IF(AC118="","Blm Diisi",""),IF(AB118="Rupiah",IF(AC118="","Blm Diisi",""),IF(AB118="","","-"))))))))</f>
        <v>0</v>
      </c>
      <c r="AE118" s="28"/>
      <c r="AF118" s="36"/>
      <c r="AG118"/>
      <c r="AH118"/>
      <c r="AI118" s="36"/>
      <c r="AJ118" s="28" t="s">
        <v>33</v>
      </c>
      <c r="AK118" s="28"/>
      <c r="AL118" s="28" t="str">
        <f>IF(AJ118="Ya/Tidak",IF(AK118="Ya",1,IF(AK118="Tidak",0,"Blm Diisi")),IF(AJ118="A/B/C",IF(AK118="A",1,IF(AK118="B",0.5,IF(AK118="C",0,"Blm Diisi"))),IF(AJ118="A/B/C/D",IF(AK118="A",1,IF(AK118="B",0.67,IF(AK118="C",0.33,IF(AK118="D",0,"Blm Diisi")))),IF(AJ118="A/B/C/D/E",IF(AK118="A",1,IF(AK118="B",0.75,IF(AK118="C",0.5,IF(AK118="D",0.25,IF(AK118="E",0,"Blm Diisi"))))),IF(AJ118="%",IF(AK118="","Blm Diisi",AK118),IF(AJ118="Jumlah",IF(AK118="","Blm Diisi",""),IF(AJ118="Rupiah",IF(AK118="","Blm Diisi",""),IF(AJ118="","","-"))))))))</f>
        <v>0</v>
      </c>
      <c r="AM118" s="28"/>
      <c r="AN118" s="36"/>
    </row>
    <row r="119" spans="1:40">
      <c r="A119" t="s">
        <v>20</v>
      </c>
      <c r="B119" s="23"/>
      <c r="C119" s="23"/>
      <c r="D119" s="23"/>
      <c r="E119" s="23"/>
      <c r="F119" s="23" t="s">
        <v>52</v>
      </c>
      <c r="G119" s="23" t="s">
        <v>553</v>
      </c>
      <c r="H119" s="28"/>
      <c r="I119" s="23" t="s">
        <v>554</v>
      </c>
      <c r="J119" s="28" t="s">
        <v>63</v>
      </c>
      <c r="K119" s="29" t="s">
        <v>34</v>
      </c>
      <c r="L119" s="28" t="str">
        <f>IF(J119="Ya/Tidak",IF(K119="Ya",1,IF(K119="Tidak",0,"Blm Diisi")),IF(J119="A/B/C",IF(K119="A",1,IF(K119="B",0.5,IF(K119="C",0,"Blm Diisi"))),IF(J119="A/B/C/D",IF(K119="A",1,IF(K119="B",0.67,IF(K119="C",0.33,IF(K119="D",0,"Blm Diisi")))),IF(J119="A/B/C/D/E",IF(K119="A",1,IF(K119="B",0.75,IF(K119="C",0.5,IF(K119="D",0.25,IF(K119="E",0,"Blm Diisi"))))),IF(J119="%",IF(K119="","Blm Diisi",K119),IF(J119="Jumlah",IF(K119="","Blm Diisi",""),IF(J119="Rupiah",IF(K119="","Blm Diisi",""),IF(J119="","","-"))))))))</f>
        <v>0</v>
      </c>
      <c r="M119" s="28"/>
      <c r="O119" s="30" t="s">
        <v>555</v>
      </c>
      <c r="P119" s="30" t="s">
        <v>556</v>
      </c>
      <c r="Q119" s="35" t="s">
        <v>557</v>
      </c>
      <c r="R119"/>
      <c r="S119" s="36"/>
      <c r="T119" s="28" t="s">
        <v>63</v>
      </c>
      <c r="U119" s="28" t="s">
        <v>34</v>
      </c>
      <c r="V119" s="28" t="str">
        <f>IF(T119="Ya/Tidak",IF(U119="Ya",1,IF(U119="Tidak",0,"Blm Diisi")),IF(T119="A/B/C",IF(U119="A",1,IF(U119="B",0.5,IF(U119="C",0,"Blm Diisi"))),IF(T119="A/B/C/D",IF(U119="A",1,IF(U119="B",0.67,IF(U119="C",0.33,IF(U119="D",0,"Blm Diisi")))),IF(T119="A/B/C/D/E",IF(U119="A",1,IF(U119="B",0.75,IF(U119="C",0.5,IF(U119="D",0.25,IF(U119="E",0,"Blm Diisi"))))),IF(T119="%",IF(U119="","Blm Diisi",U119),IF(T119="Jumlah",IF(U119="","Blm Diisi",""),IF(T119="Rupiah",IF(U119="","Blm Diisi",""),IF(T119="","","-"))))))))</f>
        <v>0</v>
      </c>
      <c r="W119" s="28"/>
      <c r="X119" s="36" t="s">
        <v>558</v>
      </c>
      <c r="Y119"/>
      <c r="Z119"/>
      <c r="AA119" s="36"/>
      <c r="AB119" s="28" t="s">
        <v>63</v>
      </c>
      <c r="AC119" s="28"/>
      <c r="AD119" s="28" t="str">
        <f>IF(AB119="Ya/Tidak",IF(AC119="Ya",1,IF(AC119="Tidak",0,"Blm Diisi")),IF(AB119="A/B/C",IF(AC119="A",1,IF(AC119="B",0.5,IF(AC119="C",0,"Blm Diisi"))),IF(AB119="A/B/C/D",IF(AC119="A",1,IF(AC119="B",0.67,IF(AC119="C",0.33,IF(AC119="D",0,"Blm Diisi")))),IF(AB119="A/B/C/D/E",IF(AC119="A",1,IF(AC119="B",0.75,IF(AC119="C",0.5,IF(AC119="D",0.25,IF(AC119="E",0,"Blm Diisi"))))),IF(AB119="%",IF(AC119="","Blm Diisi",AC119),IF(AB119="Jumlah",IF(AC119="","Blm Diisi",""),IF(AB119="Rupiah",IF(AC119="","Blm Diisi",""),IF(AB119="","","-"))))))))</f>
        <v>0</v>
      </c>
      <c r="AE119" s="28"/>
      <c r="AF119" s="36"/>
      <c r="AG119"/>
      <c r="AH119"/>
      <c r="AI119" s="36"/>
      <c r="AJ119" s="28" t="s">
        <v>63</v>
      </c>
      <c r="AK119" s="28"/>
      <c r="AL119" s="28" t="str">
        <f>IF(AJ119="Ya/Tidak",IF(AK119="Ya",1,IF(AK119="Tidak",0,"Blm Diisi")),IF(AJ119="A/B/C",IF(AK119="A",1,IF(AK119="B",0.5,IF(AK119="C",0,"Blm Diisi"))),IF(AJ119="A/B/C/D",IF(AK119="A",1,IF(AK119="B",0.67,IF(AK119="C",0.33,IF(AK119="D",0,"Blm Diisi")))),IF(AJ119="A/B/C/D/E",IF(AK119="A",1,IF(AK119="B",0.75,IF(AK119="C",0.5,IF(AK119="D",0.25,IF(AK119="E",0,"Blm Diisi"))))),IF(AJ119="%",IF(AK119="","Blm Diisi",AK119),IF(AJ119="Jumlah",IF(AK119="","Blm Diisi",""),IF(AJ119="Rupiah",IF(AK119="","Blm Diisi",""),IF(AJ119="","","-"))))))))</f>
        <v>0</v>
      </c>
      <c r="AM119" s="28"/>
      <c r="AN119" s="36"/>
    </row>
    <row r="120" spans="1:40">
      <c r="B120" s="22"/>
      <c r="C120" s="22"/>
      <c r="D120" s="22"/>
      <c r="E120" s="22" t="s">
        <v>269</v>
      </c>
      <c r="F120" s="22" t="s">
        <v>559</v>
      </c>
      <c r="G120" s="22"/>
      <c r="H120" s="27">
        <v>1</v>
      </c>
      <c r="I120" s="22"/>
      <c r="J120" s="27"/>
      <c r="K120" s="27"/>
      <c r="L120" s="27" t="str">
        <f>AVERAGE(L121:L123)*H120</f>
        <v>0</v>
      </c>
      <c r="M120" s="27" t="str">
        <f>L120/H120</f>
        <v>0</v>
      </c>
      <c r="N120" s="1"/>
      <c r="O120" s="22"/>
      <c r="P120" s="22"/>
      <c r="Q120" s="34"/>
      <c r="R120"/>
      <c r="S120" s="36">
        <v>1</v>
      </c>
      <c r="T120" s="28"/>
      <c r="U120" s="28"/>
      <c r="V120" s="28" t="str">
        <f>AVERAGE(V121:V123)*S120</f>
        <v>0</v>
      </c>
      <c r="W120" s="28" t="str">
        <f>V120/S120</f>
        <v>0</v>
      </c>
      <c r="X120" s="36"/>
      <c r="Y120"/>
      <c r="Z120"/>
      <c r="AA120" s="36">
        <v>1</v>
      </c>
      <c r="AB120" s="28"/>
      <c r="AC120" s="28"/>
      <c r="AD120" s="28" t="str">
        <f>AVERAGE(AD121:AD123)*AA120</f>
        <v>0</v>
      </c>
      <c r="AE120" s="28" t="str">
        <f>AD120/AA120</f>
        <v>0</v>
      </c>
      <c r="AF120" s="36"/>
      <c r="AG120"/>
      <c r="AH120"/>
      <c r="AI120" s="36">
        <v>1</v>
      </c>
      <c r="AJ120" s="28"/>
      <c r="AK120" s="28"/>
      <c r="AL120" s="28" t="str">
        <f>AVERAGE(AL121:AL123)*AI120</f>
        <v>0</v>
      </c>
      <c r="AM120" s="28" t="str">
        <f>AL120/AI120</f>
        <v>0</v>
      </c>
      <c r="AN120" s="36"/>
    </row>
    <row r="121" spans="1:40">
      <c r="A121" t="s">
        <v>20</v>
      </c>
      <c r="B121" s="23"/>
      <c r="C121" s="23"/>
      <c r="D121" s="23"/>
      <c r="E121" s="23"/>
      <c r="F121" s="23" t="s">
        <v>21</v>
      </c>
      <c r="G121" s="23" t="s">
        <v>560</v>
      </c>
      <c r="H121" s="28"/>
      <c r="I121" s="23" t="s">
        <v>561</v>
      </c>
      <c r="J121" s="28" t="s">
        <v>63</v>
      </c>
      <c r="K121" s="29" t="s">
        <v>34</v>
      </c>
      <c r="L121" s="28" t="str">
        <f>IF(J121="Ya/Tidak",IF(K121="Ya",1,IF(K121="Tidak",0,"Blm Diisi")),IF(J121="A/B/C",IF(K121="A",1,IF(K121="B",0.5,IF(K121="C",0,"Blm Diisi"))),IF(J121="A/B/C/D",IF(K121="A",1,IF(K121="B",0.67,IF(K121="C",0.33,IF(K121="D",0,"Blm Diisi")))),IF(J121="A/B/C/D/E",IF(K121="A",1,IF(K121="B",0.75,IF(K121="C",0.5,IF(K121="D",0.25,IF(K121="E",0,"Blm Diisi"))))),IF(J121="%",IF(K121="","Blm Diisi",K121),IF(J121="Jumlah",IF(K121="","Blm Diisi",""),IF(J121="Rupiah",IF(K121="","Blm Diisi",""),IF(J121="","","-"))))))))</f>
        <v>0</v>
      </c>
      <c r="M121" s="28"/>
      <c r="O121" s="30" t="s">
        <v>562</v>
      </c>
      <c r="P121" s="30" t="s">
        <v>563</v>
      </c>
      <c r="Q121" s="35" t="s">
        <v>564</v>
      </c>
      <c r="R121"/>
      <c r="S121" s="36"/>
      <c r="T121" s="28" t="s">
        <v>63</v>
      </c>
      <c r="U121" s="28" t="s">
        <v>34</v>
      </c>
      <c r="V121" s="28" t="str">
        <f>IF(T121="Ya/Tidak",IF(U121="Ya",1,IF(U121="Tidak",0,"Blm Diisi")),IF(T121="A/B/C",IF(U121="A",1,IF(U121="B",0.5,IF(U121="C",0,"Blm Diisi"))),IF(T121="A/B/C/D",IF(U121="A",1,IF(U121="B",0.67,IF(U121="C",0.33,IF(U121="D",0,"Blm Diisi")))),IF(T121="A/B/C/D/E",IF(U121="A",1,IF(U121="B",0.75,IF(U121="C",0.5,IF(U121="D",0.25,IF(U121="E",0,"Blm Diisi"))))),IF(T121="%",IF(U121="","Blm Diisi",U121),IF(T121="Jumlah",IF(U121="","Blm Diisi",""),IF(T121="Rupiah",IF(U121="","Blm Diisi",""),IF(T121="","","-"))))))))</f>
        <v>0</v>
      </c>
      <c r="W121" s="28"/>
      <c r="X121" s="36" t="s">
        <v>565</v>
      </c>
      <c r="Y121"/>
      <c r="Z121"/>
      <c r="AA121" s="36"/>
      <c r="AB121" s="28" t="s">
        <v>63</v>
      </c>
      <c r="AC121" s="28"/>
      <c r="AD121" s="28" t="str">
        <f>IF(AB121="Ya/Tidak",IF(AC121="Ya",1,IF(AC121="Tidak",0,"Blm Diisi")),IF(AB121="A/B/C",IF(AC121="A",1,IF(AC121="B",0.5,IF(AC121="C",0,"Blm Diisi"))),IF(AB121="A/B/C/D",IF(AC121="A",1,IF(AC121="B",0.67,IF(AC121="C",0.33,IF(AC121="D",0,"Blm Diisi")))),IF(AB121="A/B/C/D/E",IF(AC121="A",1,IF(AC121="B",0.75,IF(AC121="C",0.5,IF(AC121="D",0.25,IF(AC121="E",0,"Blm Diisi"))))),IF(AB121="%",IF(AC121="","Blm Diisi",AC121),IF(AB121="Jumlah",IF(AC121="","Blm Diisi",""),IF(AB121="Rupiah",IF(AC121="","Blm Diisi",""),IF(AB121="","","-"))))))))</f>
        <v>0</v>
      </c>
      <c r="AE121" s="28"/>
      <c r="AF121" s="36"/>
      <c r="AG121"/>
      <c r="AH121"/>
      <c r="AI121" s="36"/>
      <c r="AJ121" s="28" t="s">
        <v>63</v>
      </c>
      <c r="AK121" s="28"/>
      <c r="AL121" s="28" t="str">
        <f>IF(AJ121="Ya/Tidak",IF(AK121="Ya",1,IF(AK121="Tidak",0,"Blm Diisi")),IF(AJ121="A/B/C",IF(AK121="A",1,IF(AK121="B",0.5,IF(AK121="C",0,"Blm Diisi"))),IF(AJ121="A/B/C/D",IF(AK121="A",1,IF(AK121="B",0.67,IF(AK121="C",0.33,IF(AK121="D",0,"Blm Diisi")))),IF(AJ121="A/B/C/D/E",IF(AK121="A",1,IF(AK121="B",0.75,IF(AK121="C",0.5,IF(AK121="D",0.25,IF(AK121="E",0,"Blm Diisi"))))),IF(AJ121="%",IF(AK121="","Blm Diisi",AK121),IF(AJ121="Jumlah",IF(AK121="","Blm Diisi",""),IF(AJ121="Rupiah",IF(AK121="","Blm Diisi",""),IF(AJ121="","","-"))))))))</f>
        <v>0</v>
      </c>
      <c r="AM121" s="28"/>
      <c r="AN121" s="36"/>
    </row>
    <row r="122" spans="1:40">
      <c r="A122" t="s">
        <v>20</v>
      </c>
      <c r="B122" s="23"/>
      <c r="C122" s="23"/>
      <c r="D122" s="23"/>
      <c r="E122" s="23"/>
      <c r="F122" s="23" t="s">
        <v>566</v>
      </c>
      <c r="G122" s="23" t="s">
        <v>567</v>
      </c>
      <c r="H122" s="28"/>
      <c r="I122" s="23" t="s">
        <v>568</v>
      </c>
      <c r="J122" s="28" t="s">
        <v>24</v>
      </c>
      <c r="K122" s="29" t="s">
        <v>25</v>
      </c>
      <c r="L122" s="28" t="str">
        <f>IF(J122="Ya/Tidak",IF(K122="Ya",1,IF(K122="Tidak",0,"Blm Diisi")),IF(J122="A/B/C",IF(K122="A",1,IF(K122="B",0.5,IF(K122="C",0,"Blm Diisi"))),IF(J122="A/B/C/D",IF(K122="A",1,IF(K122="B",0.67,IF(K122="C",0.33,IF(K122="D",0,"Blm Diisi")))),IF(J122="A/B/C/D/E",IF(K122="A",1,IF(K122="B",0.75,IF(K122="C",0.5,IF(K122="D",0.25,IF(K122="E",0,"Blm Diisi"))))),IF(J122="%",IF(K122="","Blm Diisi",K122),IF(J122="Jumlah",IF(K122="","Blm Diisi",""),IF(J122="Rupiah",IF(K122="","Blm Diisi",""),IF(J122="","","-"))))))))</f>
        <v>0</v>
      </c>
      <c r="M122" s="28"/>
      <c r="O122" s="30" t="s">
        <v>569</v>
      </c>
      <c r="P122" s="30" t="s">
        <v>570</v>
      </c>
      <c r="Q122" s="35" t="s">
        <v>571</v>
      </c>
      <c r="R122"/>
      <c r="S122" s="36"/>
      <c r="T122" s="28" t="s">
        <v>24</v>
      </c>
      <c r="U122" s="28" t="s">
        <v>25</v>
      </c>
      <c r="V122" s="28" t="str">
        <f>IF(T122="Ya/Tidak",IF(U122="Ya",1,IF(U122="Tidak",0,"Blm Diisi")),IF(T122="A/B/C",IF(U122="A",1,IF(U122="B",0.5,IF(U122="C",0,"Blm Diisi"))),IF(T122="A/B/C/D",IF(U122="A",1,IF(U122="B",0.67,IF(U122="C",0.33,IF(U122="D",0,"Blm Diisi")))),IF(T122="A/B/C/D/E",IF(U122="A",1,IF(U122="B",0.75,IF(U122="C",0.5,IF(U122="D",0.25,IF(U122="E",0,"Blm Diisi"))))),IF(T122="%",IF(U122="","Blm Diisi",U122),IF(T122="Jumlah",IF(U122="","Blm Diisi",""),IF(T122="Rupiah",IF(U122="","Blm Diisi",""),IF(T122="","","-"))))))))</f>
        <v>0</v>
      </c>
      <c r="W122" s="28"/>
      <c r="X122" s="36" t="s">
        <v>572</v>
      </c>
      <c r="Y122"/>
      <c r="Z122"/>
      <c r="AA122" s="36"/>
      <c r="AB122" s="28" t="s">
        <v>24</v>
      </c>
      <c r="AC122" s="28"/>
      <c r="AD122" s="28" t="str">
        <f>IF(AB122="Ya/Tidak",IF(AC122="Ya",1,IF(AC122="Tidak",0,"Blm Diisi")),IF(AB122="A/B/C",IF(AC122="A",1,IF(AC122="B",0.5,IF(AC122="C",0,"Blm Diisi"))),IF(AB122="A/B/C/D",IF(AC122="A",1,IF(AC122="B",0.67,IF(AC122="C",0.33,IF(AC122="D",0,"Blm Diisi")))),IF(AB122="A/B/C/D/E",IF(AC122="A",1,IF(AC122="B",0.75,IF(AC122="C",0.5,IF(AC122="D",0.25,IF(AC122="E",0,"Blm Diisi"))))),IF(AB122="%",IF(AC122="","Blm Diisi",AC122),IF(AB122="Jumlah",IF(AC122="","Blm Diisi",""),IF(AB122="Rupiah",IF(AC122="","Blm Diisi",""),IF(AB122="","","-"))))))))</f>
        <v>0</v>
      </c>
      <c r="AE122" s="28"/>
      <c r="AF122" s="36"/>
      <c r="AG122"/>
      <c r="AH122"/>
      <c r="AI122" s="36"/>
      <c r="AJ122" s="28" t="s">
        <v>24</v>
      </c>
      <c r="AK122" s="28"/>
      <c r="AL122" s="28" t="str">
        <f>IF(AJ122="Ya/Tidak",IF(AK122="Ya",1,IF(AK122="Tidak",0,"Blm Diisi")),IF(AJ122="A/B/C",IF(AK122="A",1,IF(AK122="B",0.5,IF(AK122="C",0,"Blm Diisi"))),IF(AJ122="A/B/C/D",IF(AK122="A",1,IF(AK122="B",0.67,IF(AK122="C",0.33,IF(AK122="D",0,"Blm Diisi")))),IF(AJ122="A/B/C/D/E",IF(AK122="A",1,IF(AK122="B",0.75,IF(AK122="C",0.5,IF(AK122="D",0.25,IF(AK122="E",0,"Blm Diisi"))))),IF(AJ122="%",IF(AK122="","Blm Diisi",AK122),IF(AJ122="Jumlah",IF(AK122="","Blm Diisi",""),IF(AJ122="Rupiah",IF(AK122="","Blm Diisi",""),IF(AJ122="","","-"))))))))</f>
        <v>0</v>
      </c>
      <c r="AM122" s="28"/>
      <c r="AN122" s="36"/>
    </row>
    <row r="123" spans="1:40">
      <c r="A123" t="s">
        <v>20</v>
      </c>
      <c r="B123" s="23"/>
      <c r="C123" s="23"/>
      <c r="D123" s="23"/>
      <c r="E123" s="23"/>
      <c r="F123" s="23" t="s">
        <v>30</v>
      </c>
      <c r="G123" s="23" t="s">
        <v>573</v>
      </c>
      <c r="H123" s="28"/>
      <c r="I123" s="23" t="s">
        <v>574</v>
      </c>
      <c r="J123" s="28" t="s">
        <v>33</v>
      </c>
      <c r="K123" s="29" t="s">
        <v>34</v>
      </c>
      <c r="L123" s="28" t="str">
        <f>IF(J123="Ya/Tidak",IF(K123="Ya",1,IF(K123="Tidak",0,"Blm Diisi")),IF(J123="A/B/C",IF(K123="A",1,IF(K123="B",0.5,IF(K123="C",0,"Blm Diisi"))),IF(J123="A/B/C/D",IF(K123="A",1,IF(K123="B",0.67,IF(K123="C",0.33,IF(K123="D",0,"Blm Diisi")))),IF(J123="A/B/C/D/E",IF(K123="A",1,IF(K123="B",0.75,IF(K123="C",0.5,IF(K123="D",0.25,IF(K123="E",0,"Blm Diisi"))))),IF(J123="%",IF(K123="","Blm Diisi",K123),IF(J123="Jumlah",IF(K123="","Blm Diisi",""),IF(J123="Rupiah",IF(K123="","Blm Diisi",""),IF(J123="","","-"))))))))</f>
        <v>0</v>
      </c>
      <c r="M123" s="28"/>
      <c r="O123" s="30" t="s">
        <v>575</v>
      </c>
      <c r="P123" s="30" t="s">
        <v>576</v>
      </c>
      <c r="Q123" s="35" t="s">
        <v>577</v>
      </c>
      <c r="R123"/>
      <c r="S123" s="36"/>
      <c r="T123" s="28" t="s">
        <v>33</v>
      </c>
      <c r="U123" s="28" t="s">
        <v>34</v>
      </c>
      <c r="V123" s="28" t="str">
        <f>IF(T123="Ya/Tidak",IF(U123="Ya",1,IF(U123="Tidak",0,"Blm Diisi")),IF(T123="A/B/C",IF(U123="A",1,IF(U123="B",0.5,IF(U123="C",0,"Blm Diisi"))),IF(T123="A/B/C/D",IF(U123="A",1,IF(U123="B",0.67,IF(U123="C",0.33,IF(U123="D",0,"Blm Diisi")))),IF(T123="A/B/C/D/E",IF(U123="A",1,IF(U123="B",0.75,IF(U123="C",0.5,IF(U123="D",0.25,IF(U123="E",0,"Blm Diisi"))))),IF(T123="%",IF(U123="","Blm Diisi",U123),IF(T123="Jumlah",IF(U123="","Blm Diisi",""),IF(T123="Rupiah",IF(U123="","Blm Diisi",""),IF(T123="","","-"))))))))</f>
        <v>0</v>
      </c>
      <c r="W123" s="28"/>
      <c r="X123" s="36" t="s">
        <v>578</v>
      </c>
      <c r="Y123"/>
      <c r="Z123"/>
      <c r="AA123" s="36"/>
      <c r="AB123" s="28" t="s">
        <v>33</v>
      </c>
      <c r="AC123" s="28"/>
      <c r="AD123" s="28" t="str">
        <f>IF(AB123="Ya/Tidak",IF(AC123="Ya",1,IF(AC123="Tidak",0,"Blm Diisi")),IF(AB123="A/B/C",IF(AC123="A",1,IF(AC123="B",0.5,IF(AC123="C",0,"Blm Diisi"))),IF(AB123="A/B/C/D",IF(AC123="A",1,IF(AC123="B",0.67,IF(AC123="C",0.33,IF(AC123="D",0,"Blm Diisi")))),IF(AB123="A/B/C/D/E",IF(AC123="A",1,IF(AC123="B",0.75,IF(AC123="C",0.5,IF(AC123="D",0.25,IF(AC123="E",0,"Blm Diisi"))))),IF(AB123="%",IF(AC123="","Blm Diisi",AC123),IF(AB123="Jumlah",IF(AC123="","Blm Diisi",""),IF(AB123="Rupiah",IF(AC123="","Blm Diisi",""),IF(AB123="","","-"))))))))</f>
        <v>0</v>
      </c>
      <c r="AE123" s="28"/>
      <c r="AF123" s="36"/>
      <c r="AG123"/>
      <c r="AH123"/>
      <c r="AI123" s="36"/>
      <c r="AJ123" s="28" t="s">
        <v>33</v>
      </c>
      <c r="AK123" s="28"/>
      <c r="AL123" s="28" t="str">
        <f>IF(AJ123="Ya/Tidak",IF(AK123="Ya",1,IF(AK123="Tidak",0,"Blm Diisi")),IF(AJ123="A/B/C",IF(AK123="A",1,IF(AK123="B",0.5,IF(AK123="C",0,"Blm Diisi"))),IF(AJ123="A/B/C/D",IF(AK123="A",1,IF(AK123="B",0.67,IF(AK123="C",0.33,IF(AK123="D",0,"Blm Diisi")))),IF(AJ123="A/B/C/D/E",IF(AK123="A",1,IF(AK123="B",0.75,IF(AK123="C",0.5,IF(AK123="D",0.25,IF(AK123="E",0,"Blm Diisi"))))),IF(AJ123="%",IF(AK123="","Blm Diisi",AK123),IF(AJ123="Jumlah",IF(AK123="","Blm Diisi",""),IF(AJ123="Rupiah",IF(AK123="","Blm Diisi",""),IF(AJ123="","","-"))))))))</f>
        <v>0</v>
      </c>
      <c r="AM123" s="28"/>
      <c r="AN123" s="36"/>
    </row>
    <row r="124" spans="1:40">
      <c r="B124" s="20"/>
      <c r="C124" s="20" t="s">
        <v>579</v>
      </c>
      <c r="D124" s="20" t="s">
        <v>580</v>
      </c>
      <c r="E124" s="20"/>
      <c r="F124" s="20"/>
      <c r="G124" s="20"/>
      <c r="H124" s="25">
        <v>30</v>
      </c>
      <c r="I124" s="20"/>
      <c r="J124" s="25"/>
      <c r="K124" s="25"/>
      <c r="L124" s="25" t="str">
        <f>SUM(L125,L137,L147,L157,L166,L189)</f>
        <v>0</v>
      </c>
      <c r="M124" s="25" t="str">
        <f>L124/H124</f>
        <v>0</v>
      </c>
      <c r="N124" s="2"/>
      <c r="O124" s="20"/>
      <c r="P124" s="20"/>
      <c r="Q124" s="32"/>
      <c r="R124" s="2"/>
      <c r="S124" s="37">
        <v>30</v>
      </c>
      <c r="T124" s="25"/>
      <c r="U124" s="25"/>
      <c r="V124" s="25" t="str">
        <f>SUM(V125,V137,V147,V157,V166,V189)</f>
        <v>0</v>
      </c>
      <c r="W124" s="25" t="str">
        <f>V124/S124</f>
        <v>0</v>
      </c>
      <c r="X124" s="37"/>
      <c r="Y124" s="2"/>
      <c r="Z124" s="2"/>
      <c r="AA124" s="37">
        <v>30</v>
      </c>
      <c r="AB124" s="25"/>
      <c r="AC124" s="25"/>
      <c r="AD124" s="25" t="str">
        <f>SUM(AD125,AD137,AD147,AD157,AD166,AD189)</f>
        <v>0</v>
      </c>
      <c r="AE124" s="25" t="str">
        <f>AD124/AA124</f>
        <v>0</v>
      </c>
      <c r="AF124" s="37"/>
      <c r="AG124" s="2"/>
      <c r="AH124" s="2"/>
      <c r="AI124" s="37">
        <v>30</v>
      </c>
      <c r="AJ124" s="25"/>
      <c r="AK124" s="25"/>
      <c r="AL124" s="25" t="str">
        <f>SUM(AL125,AL137,AL147,AL157,AL166,AL189)</f>
        <v>0</v>
      </c>
      <c r="AM124" s="25" t="str">
        <f>AL124/AI124</f>
        <v>0</v>
      </c>
      <c r="AN124" s="37"/>
    </row>
    <row r="125" spans="1:40">
      <c r="B125" s="21"/>
      <c r="C125" s="21"/>
      <c r="D125" s="21">
        <v>1.0</v>
      </c>
      <c r="E125" s="21" t="s">
        <v>17</v>
      </c>
      <c r="F125" s="21"/>
      <c r="G125" s="21"/>
      <c r="H125" s="26">
        <v>4</v>
      </c>
      <c r="I125" s="21"/>
      <c r="J125" s="26"/>
      <c r="K125" s="26"/>
      <c r="L125" s="26" t="str">
        <f>SUM(L126,L133,L135)</f>
        <v>0</v>
      </c>
      <c r="M125" s="26" t="str">
        <f>L125/H125</f>
        <v>0</v>
      </c>
      <c r="N125" s="1"/>
      <c r="O125" s="21"/>
      <c r="P125" s="21"/>
      <c r="Q125" s="33"/>
      <c r="R125"/>
      <c r="S125" s="36">
        <v>4</v>
      </c>
      <c r="T125" s="28"/>
      <c r="U125" s="28"/>
      <c r="V125" s="28" t="str">
        <f>SUM(V126,V133,V135)</f>
        <v>0</v>
      </c>
      <c r="W125" s="28" t="str">
        <f>V125/S125</f>
        <v>0</v>
      </c>
      <c r="X125" s="36"/>
      <c r="Y125"/>
      <c r="Z125"/>
      <c r="AA125" s="36">
        <v>4</v>
      </c>
      <c r="AB125" s="28"/>
      <c r="AC125" s="28"/>
      <c r="AD125" s="28" t="str">
        <f>SUM(AD126,AD133,AD135)</f>
        <v>0</v>
      </c>
      <c r="AE125" s="28" t="str">
        <f>AD125/AA125</f>
        <v>0</v>
      </c>
      <c r="AF125" s="36"/>
      <c r="AG125"/>
      <c r="AH125"/>
      <c r="AI125" s="36">
        <v>4</v>
      </c>
      <c r="AJ125" s="28"/>
      <c r="AK125" s="28"/>
      <c r="AL125" s="28" t="str">
        <f>SUM(AL126,AL133,AL135)</f>
        <v>0</v>
      </c>
      <c r="AM125" s="28" t="str">
        <f>AL125/AI125</f>
        <v>0</v>
      </c>
      <c r="AN125" s="36"/>
    </row>
    <row r="126" spans="1:40">
      <c r="B126" s="22"/>
      <c r="C126" s="22"/>
      <c r="D126" s="22"/>
      <c r="E126" s="22" t="s">
        <v>18</v>
      </c>
      <c r="F126" s="22" t="s">
        <v>581</v>
      </c>
      <c r="G126" s="22"/>
      <c r="H126" s="27">
        <v>2</v>
      </c>
      <c r="I126" s="22"/>
      <c r="J126" s="27"/>
      <c r="K126" s="27"/>
      <c r="L126" s="27" t="str">
        <f>AVERAGE(L127:L132)*H126</f>
        <v>0</v>
      </c>
      <c r="M126" s="27" t="str">
        <f>L126/H126</f>
        <v>0</v>
      </c>
      <c r="N126" s="1"/>
      <c r="O126" s="22"/>
      <c r="P126" s="22"/>
      <c r="Q126" s="34"/>
      <c r="R126"/>
      <c r="S126" s="36">
        <v>2</v>
      </c>
      <c r="T126" s="28"/>
      <c r="U126" s="28"/>
      <c r="V126" s="28" t="str">
        <f>AVERAGE(V127:V132)*S126</f>
        <v>0</v>
      </c>
      <c r="W126" s="28" t="str">
        <f>V126/S126</f>
        <v>0</v>
      </c>
      <c r="X126" s="36"/>
      <c r="Y126"/>
      <c r="Z126"/>
      <c r="AA126" s="36">
        <v>2</v>
      </c>
      <c r="AB126" s="28"/>
      <c r="AC126" s="28"/>
      <c r="AD126" s="28" t="str">
        <f>AVERAGE(AD127:AD132)*AA126</f>
        <v>0</v>
      </c>
      <c r="AE126" s="28" t="str">
        <f>AD126/AA126</f>
        <v>0</v>
      </c>
      <c r="AF126" s="36"/>
      <c r="AG126"/>
      <c r="AH126"/>
      <c r="AI126" s="36">
        <v>2</v>
      </c>
      <c r="AJ126" s="28"/>
      <c r="AK126" s="28"/>
      <c r="AL126" s="28" t="str">
        <f>AVERAGE(AL127:AL132)*AI126</f>
        <v>0</v>
      </c>
      <c r="AM126" s="28" t="str">
        <f>AL126/AI126</f>
        <v>0</v>
      </c>
      <c r="AN126" s="36"/>
    </row>
    <row r="127" spans="1:40">
      <c r="A127" t="s">
        <v>582</v>
      </c>
      <c r="B127" s="23"/>
      <c r="C127" s="23"/>
      <c r="D127" s="23"/>
      <c r="E127" s="23"/>
      <c r="F127" s="23" t="s">
        <v>21</v>
      </c>
      <c r="G127" s="23" t="s">
        <v>583</v>
      </c>
      <c r="H127" s="28"/>
      <c r="I127" s="23" t="s">
        <v>584</v>
      </c>
      <c r="J127" s="28" t="s">
        <v>585</v>
      </c>
      <c r="K127" s="29" t="str">
        <f>IF(OR(K128="",K129=""),"Blm Diisi",IF(K129/K128&gt;1,1,K129/K128))</f>
        <v>0</v>
      </c>
      <c r="L127" s="28" t="str">
        <f>IF(J127="Ya/Tidak",IF(K127="Ya",1,IF(K127="Tidak",0,"Blm Diisi")),IF(J127="A/B/C",IF(K127="A",1,IF(K127="B",0.5,IF(K127="C",0,"Blm Diisi"))),IF(J127="A/B/C/D",IF(K127="A",1,IF(K127="B",0.67,IF(K127="C",0.33,IF(K127="D",0,"Blm Diisi")))),IF(J127="A/B/C/D/E",IF(K127="A",1,IF(K127="B",0.75,IF(K127="C",0.5,IF(K127="D",0.25,IF(K127="E",0,"Blm Diisi"))))),IF(J127="%",IF(K127="","Blm Diisi",K127),IF(J127="Jumlah",IF(K127="","Blm Diisi",""),IF(J127="Rupiah",IF(K127="","Blm Diisi",""),IF(J127="","","-"))))))))</f>
        <v>0</v>
      </c>
      <c r="M127" s="28"/>
      <c r="O127" s="30" t="s">
        <v>586</v>
      </c>
      <c r="P127" s="30" t="s">
        <v>587</v>
      </c>
      <c r="Q127" s="35" t="s">
        <v>588</v>
      </c>
      <c r="R127"/>
      <c r="S127" s="36"/>
      <c r="T127" s="28" t="s">
        <v>585</v>
      </c>
      <c r="U127" s="28" t="str">
        <f>IF(OR(U128="",U129=""),"Blm Diisi",IF(U129/U128&gt;1,1,U129/U128))</f>
        <v>0</v>
      </c>
      <c r="V127" s="28" t="str">
        <f>IF(T127="Ya/Tidak",IF(U127="Ya",1,IF(U127="Tidak",0,"Blm Diisi")),IF(T127="A/B/C",IF(U127="A",1,IF(U127="B",0.5,IF(U127="C",0,"Blm Diisi"))),IF(T127="A/B/C/D",IF(U127="A",1,IF(U127="B",0.67,IF(U127="C",0.33,IF(U127="D",0,"Blm Diisi")))),IF(T127="A/B/C/D/E",IF(U127="A",1,IF(U127="B",0.75,IF(U127="C",0.5,IF(U127="D",0.25,IF(U127="E",0,"Blm Diisi"))))),IF(T127="%",IF(U127="","Blm Diisi",U127),IF(T127="Jumlah",IF(U127="","Blm Diisi",""),IF(T127="Rupiah",IF(U127="","Blm Diisi",""),IF(T127="","","-"))))))))</f>
        <v>0</v>
      </c>
      <c r="W127" s="28"/>
      <c r="X127" s="36" t="s">
        <v>589</v>
      </c>
      <c r="Y127"/>
      <c r="Z127"/>
      <c r="AA127" s="36"/>
      <c r="AB127" s="28" t="s">
        <v>585</v>
      </c>
      <c r="AC127" s="28" t="str">
        <f>IF(OR(AC128="",AC129=""),"Blm Diisi",IF(AC129/AC128&gt;1,1,AC129/AC128))</f>
        <v>0</v>
      </c>
      <c r="AD127" s="28" t="str">
        <f>IF(AB127="Ya/Tidak",IF(AC127="Ya",1,IF(AC127="Tidak",0,"Blm Diisi")),IF(AB127="A/B/C",IF(AC127="A",1,IF(AC127="B",0.5,IF(AC127="C",0,"Blm Diisi"))),IF(AB127="A/B/C/D",IF(AC127="A",1,IF(AC127="B",0.67,IF(AC127="C",0.33,IF(AC127="D",0,"Blm Diisi")))),IF(AB127="A/B/C/D/E",IF(AC127="A",1,IF(AC127="B",0.75,IF(AC127="C",0.5,IF(AC127="D",0.25,IF(AC127="E",0,"Blm Diisi"))))),IF(AB127="%",IF(AC127="","Blm Diisi",AC127),IF(AB127="Jumlah",IF(AC127="","Blm Diisi",""),IF(AB127="Rupiah",IF(AC127="","Blm Diisi",""),IF(AB127="","","-"))))))))</f>
        <v>0</v>
      </c>
      <c r="AE127" s="28"/>
      <c r="AF127" s="36"/>
      <c r="AG127"/>
      <c r="AH127"/>
      <c r="AI127" s="36"/>
      <c r="AJ127" s="28" t="s">
        <v>585</v>
      </c>
      <c r="AK127" s="28" t="str">
        <f>IF(OR(AK128="",AK129=""),"Blm Diisi",IF(AK129/AK128&gt;1,1,AK129/AK128))</f>
        <v>0</v>
      </c>
      <c r="AL127" s="28" t="str">
        <f>IF(AJ127="Ya/Tidak",IF(AK127="Ya",1,IF(AK127="Tidak",0,"Blm Diisi")),IF(AJ127="A/B/C",IF(AK127="A",1,IF(AK127="B",0.5,IF(AK127="C",0,"Blm Diisi"))),IF(AJ127="A/B/C/D",IF(AK127="A",1,IF(AK127="B",0.67,IF(AK127="C",0.33,IF(AK127="D",0,"Blm Diisi")))),IF(AJ127="A/B/C/D/E",IF(AK127="A",1,IF(AK127="B",0.75,IF(AK127="C",0.5,IF(AK127="D",0.25,IF(AK127="E",0,"Blm Diisi"))))),IF(AJ127="%",IF(AK127="","Blm Diisi",AK127),IF(AJ127="Jumlah",IF(AK127="","Blm Diisi",""),IF(AJ127="Rupiah",IF(AK127="","Blm Diisi",""),IF(AJ127="","","-"))))))))</f>
        <v>0</v>
      </c>
      <c r="AM127" s="28"/>
      <c r="AN127" s="36"/>
    </row>
    <row r="128" spans="1:40">
      <c r="A128" t="s">
        <v>590</v>
      </c>
      <c r="B128" s="23"/>
      <c r="C128" s="23"/>
      <c r="D128" s="23"/>
      <c r="E128" s="23"/>
      <c r="F128" s="23"/>
      <c r="G128" s="23" t="s">
        <v>591</v>
      </c>
      <c r="H128" s="28"/>
      <c r="I128" s="23"/>
      <c r="J128" s="28" t="s">
        <v>592</v>
      </c>
      <c r="K128" s="29">
        <v>7</v>
      </c>
      <c r="L128" s="28" t="str">
        <f>IF(J128="Ya/Tidak",IF(K128="Ya",1,IF(K128="Tidak",0,"Blm Diisi")),IF(J128="A/B/C",IF(K128="A",1,IF(K128="B",0.5,IF(K128="C",0,"Blm Diisi"))),IF(J128="A/B/C/D",IF(K128="A",1,IF(K128="B",0.67,IF(K128="C",0.33,IF(K128="D",0,"Blm Diisi")))),IF(J128="A/B/C/D/E",IF(K128="A",1,IF(K128="B",0.75,IF(K128="C",0.5,IF(K128="D",0.25,IF(K128="E",0,"Blm Diisi"))))),IF(J128="%",IF(K128="","Blm Diisi",K128),IF(J128="Jumlah",IF(K128="","Blm Diisi",""),IF(J128="Rupiah",IF(K128="","Blm Diisi",""),IF(J128="","","-"))))))))</f>
        <v>0</v>
      </c>
      <c r="M128" s="28"/>
      <c r="O128" s="30"/>
      <c r="P128" s="30"/>
      <c r="Q128" s="35"/>
      <c r="R128"/>
      <c r="S128" s="36"/>
      <c r="T128" s="28" t="s">
        <v>592</v>
      </c>
      <c r="U128" s="28">
        <v>10</v>
      </c>
      <c r="V128" s="28" t="str">
        <f>IF(T128="Ya/Tidak",IF(U128="Ya",1,IF(U128="Tidak",0,"Blm Diisi")),IF(T128="A/B/C",IF(U128="A",1,IF(U128="B",0.5,IF(U128="C",0,"Blm Diisi"))),IF(T128="A/B/C/D",IF(U128="A",1,IF(U128="B",0.67,IF(U128="C",0.33,IF(U128="D",0,"Blm Diisi")))),IF(T128="A/B/C/D/E",IF(U128="A",1,IF(U128="B",0.75,IF(U128="C",0.5,IF(U128="D",0.25,IF(U128="E",0,"Blm Diisi"))))),IF(T128="%",IF(U128="","Blm Diisi",U128),IF(T128="Jumlah",IF(U128="","Blm Diisi",""),IF(T128="Rupiah",IF(U128="","Blm Diisi",""),IF(T128="","","-"))))))))</f>
        <v>0</v>
      </c>
      <c r="W128" s="28"/>
      <c r="X128" s="36"/>
      <c r="Y128"/>
      <c r="Z128"/>
      <c r="AA128" s="36"/>
      <c r="AB128" s="28" t="s">
        <v>592</v>
      </c>
      <c r="AC128" s="28"/>
      <c r="AD128" s="28" t="str">
        <f>IF(AB128="Ya/Tidak",IF(AC128="Ya",1,IF(AC128="Tidak",0,"Blm Diisi")),IF(AB128="A/B/C",IF(AC128="A",1,IF(AC128="B",0.5,IF(AC128="C",0,"Blm Diisi"))),IF(AB128="A/B/C/D",IF(AC128="A",1,IF(AC128="B",0.67,IF(AC128="C",0.33,IF(AC128="D",0,"Blm Diisi")))),IF(AB128="A/B/C/D/E",IF(AC128="A",1,IF(AC128="B",0.75,IF(AC128="C",0.5,IF(AC128="D",0.25,IF(AC128="E",0,"Blm Diisi"))))),IF(AB128="%",IF(AC128="","Blm Diisi",AC128),IF(AB128="Jumlah",IF(AC128="","Blm Diisi",""),IF(AB128="Rupiah",IF(AC128="","Blm Diisi",""),IF(AB128="","","-"))))))))</f>
        <v>0</v>
      </c>
      <c r="AE128" s="28"/>
      <c r="AF128" s="36"/>
      <c r="AG128"/>
      <c r="AH128"/>
      <c r="AI128" s="36"/>
      <c r="AJ128" s="28" t="s">
        <v>592</v>
      </c>
      <c r="AK128" s="28"/>
      <c r="AL128" s="28" t="str">
        <f>IF(AJ128="Ya/Tidak",IF(AK128="Ya",1,IF(AK128="Tidak",0,"Blm Diisi")),IF(AJ128="A/B/C",IF(AK128="A",1,IF(AK128="B",0.5,IF(AK128="C",0,"Blm Diisi"))),IF(AJ128="A/B/C/D",IF(AK128="A",1,IF(AK128="B",0.67,IF(AK128="C",0.33,IF(AK128="D",0,"Blm Diisi")))),IF(AJ128="A/B/C/D/E",IF(AK128="A",1,IF(AK128="B",0.75,IF(AK128="C",0.5,IF(AK128="D",0.25,IF(AK128="E",0,"Blm Diisi"))))),IF(AJ128="%",IF(AK128="","Blm Diisi",AK128),IF(AJ128="Jumlah",IF(AK128="","Blm Diisi",""),IF(AJ128="Rupiah",IF(AK128="","Blm Diisi",""),IF(AJ128="","","-"))))))))</f>
        <v>0</v>
      </c>
      <c r="AM128" s="28"/>
      <c r="AN128" s="36"/>
    </row>
    <row r="129" spans="1:40">
      <c r="A129" t="s">
        <v>590</v>
      </c>
      <c r="B129" s="23"/>
      <c r="C129" s="23"/>
      <c r="D129" s="23"/>
      <c r="E129" s="23"/>
      <c r="F129" s="23"/>
      <c r="G129" s="23" t="s">
        <v>593</v>
      </c>
      <c r="H129" s="28"/>
      <c r="I129" s="23"/>
      <c r="J129" s="28" t="s">
        <v>592</v>
      </c>
      <c r="K129" s="29">
        <v>7</v>
      </c>
      <c r="L129" s="28" t="str">
        <f>IF(J129="Ya/Tidak",IF(K129="Ya",1,IF(K129="Tidak",0,"Blm Diisi")),IF(J129="A/B/C",IF(K129="A",1,IF(K129="B",0.5,IF(K129="C",0,"Blm Diisi"))),IF(J129="A/B/C/D",IF(K129="A",1,IF(K129="B",0.67,IF(K129="C",0.33,IF(K129="D",0,"Blm Diisi")))),IF(J129="A/B/C/D/E",IF(K129="A",1,IF(K129="B",0.75,IF(K129="C",0.5,IF(K129="D",0.25,IF(K129="E",0,"Blm Diisi"))))),IF(J129="%",IF(K129="","Blm Diisi",K129),IF(J129="Jumlah",IF(K129="","Blm Diisi",""),IF(J129="Rupiah",IF(K129="","Blm Diisi",""),IF(J129="","","-"))))))))</f>
        <v>0</v>
      </c>
      <c r="M129" s="28"/>
      <c r="O129" s="30"/>
      <c r="P129" s="30"/>
      <c r="Q129" s="35"/>
      <c r="R129"/>
      <c r="S129" s="36"/>
      <c r="T129" s="28" t="s">
        <v>592</v>
      </c>
      <c r="U129" s="28">
        <v>4</v>
      </c>
      <c r="V129" s="28" t="str">
        <f>IF(T129="Ya/Tidak",IF(U129="Ya",1,IF(U129="Tidak",0,"Blm Diisi")),IF(T129="A/B/C",IF(U129="A",1,IF(U129="B",0.5,IF(U129="C",0,"Blm Diisi"))),IF(T129="A/B/C/D",IF(U129="A",1,IF(U129="B",0.67,IF(U129="C",0.33,IF(U129="D",0,"Blm Diisi")))),IF(T129="A/B/C/D/E",IF(U129="A",1,IF(U129="B",0.75,IF(U129="C",0.5,IF(U129="D",0.25,IF(U129="E",0,"Blm Diisi"))))),IF(T129="%",IF(U129="","Blm Diisi",U129),IF(T129="Jumlah",IF(U129="","Blm Diisi",""),IF(T129="Rupiah",IF(U129="","Blm Diisi",""),IF(T129="","","-"))))))))</f>
        <v>0</v>
      </c>
      <c r="W129" s="28"/>
      <c r="X129" s="36"/>
      <c r="Y129"/>
      <c r="Z129"/>
      <c r="AA129" s="36"/>
      <c r="AB129" s="28" t="s">
        <v>592</v>
      </c>
      <c r="AC129" s="28"/>
      <c r="AD129" s="28" t="str">
        <f>IF(AB129="Ya/Tidak",IF(AC129="Ya",1,IF(AC129="Tidak",0,"Blm Diisi")),IF(AB129="A/B/C",IF(AC129="A",1,IF(AC129="B",0.5,IF(AC129="C",0,"Blm Diisi"))),IF(AB129="A/B/C/D",IF(AC129="A",1,IF(AC129="B",0.67,IF(AC129="C",0.33,IF(AC129="D",0,"Blm Diisi")))),IF(AB129="A/B/C/D/E",IF(AC129="A",1,IF(AC129="B",0.75,IF(AC129="C",0.5,IF(AC129="D",0.25,IF(AC129="E",0,"Blm Diisi"))))),IF(AB129="%",IF(AC129="","Blm Diisi",AC129),IF(AB129="Jumlah",IF(AC129="","Blm Diisi",""),IF(AB129="Rupiah",IF(AC129="","Blm Diisi",""),IF(AB129="","","-"))))))))</f>
        <v>0</v>
      </c>
      <c r="AE129" s="28"/>
      <c r="AF129" s="36"/>
      <c r="AG129"/>
      <c r="AH129"/>
      <c r="AI129" s="36"/>
      <c r="AJ129" s="28" t="s">
        <v>592</v>
      </c>
      <c r="AK129" s="28"/>
      <c r="AL129" s="28" t="str">
        <f>IF(AJ129="Ya/Tidak",IF(AK129="Ya",1,IF(AK129="Tidak",0,"Blm Diisi")),IF(AJ129="A/B/C",IF(AK129="A",1,IF(AK129="B",0.5,IF(AK129="C",0,"Blm Diisi"))),IF(AJ129="A/B/C/D",IF(AK129="A",1,IF(AK129="B",0.67,IF(AK129="C",0.33,IF(AK129="D",0,"Blm Diisi")))),IF(AJ129="A/B/C/D/E",IF(AK129="A",1,IF(AK129="B",0.75,IF(AK129="C",0.5,IF(AK129="D",0.25,IF(AK129="E",0,"Blm Diisi"))))),IF(AJ129="%",IF(AK129="","Blm Diisi",AK129),IF(AJ129="Jumlah",IF(AK129="","Blm Diisi",""),IF(AJ129="Rupiah",IF(AK129="","Blm Diisi",""),IF(AJ129="","","-"))))))))</f>
        <v>0</v>
      </c>
      <c r="AM129" s="28"/>
      <c r="AN129" s="36"/>
    </row>
    <row r="130" spans="1:40">
      <c r="A130" t="s">
        <v>582</v>
      </c>
      <c r="B130" s="23"/>
      <c r="C130" s="23"/>
      <c r="D130" s="23"/>
      <c r="E130" s="23"/>
      <c r="F130" s="23" t="s">
        <v>30</v>
      </c>
      <c r="G130" s="23" t="s">
        <v>594</v>
      </c>
      <c r="H130" s="28"/>
      <c r="I130" s="23"/>
      <c r="J130" s="28" t="s">
        <v>585</v>
      </c>
      <c r="K130" s="29" t="str">
        <f>IF(OR(K131="",K132=""),"Blm Diisi",IF(K132/K131&gt;1,1,K132/K131))</f>
        <v>0</v>
      </c>
      <c r="L130" s="28" t="str">
        <f>IF(J130="Ya/Tidak",IF(K130="Ya",1,IF(K130="Tidak",0,"Blm Diisi")),IF(J130="A/B/C",IF(K130="A",1,IF(K130="B",0.5,IF(K130="C",0,"Blm Diisi"))),IF(J130="A/B/C/D",IF(K130="A",1,IF(K130="B",0.67,IF(K130="C",0.33,IF(K130="D",0,"Blm Diisi")))),IF(J130="A/B/C/D/E",IF(K130="A",1,IF(K130="B",0.75,IF(K130="C",0.5,IF(K130="D",0.25,IF(K130="E",0,"Blm Diisi"))))),IF(J130="%",IF(K130="","Blm Diisi",K130),IF(J130="Jumlah",IF(K130="","Blm Diisi",""),IF(J130="Rupiah",IF(K130="","Blm Diisi",""),IF(J130="","","-"))))))))</f>
        <v>0</v>
      </c>
      <c r="M130" s="28"/>
      <c r="O130" s="30" t="s">
        <v>595</v>
      </c>
      <c r="P130" s="30" t="s">
        <v>596</v>
      </c>
      <c r="Q130" s="35" t="s">
        <v>597</v>
      </c>
      <c r="R130"/>
      <c r="S130" s="36"/>
      <c r="T130" s="28" t="s">
        <v>585</v>
      </c>
      <c r="U130" s="28" t="str">
        <f>IF(OR(U131="",U132=""),"Blm Diisi",IF(U132/U131&gt;1,1,U132/U131))</f>
        <v>0</v>
      </c>
      <c r="V130" s="28" t="str">
        <f>IF(T130="Ya/Tidak",IF(U130="Ya",1,IF(U130="Tidak",0,"Blm Diisi")),IF(T130="A/B/C",IF(U130="A",1,IF(U130="B",0.5,IF(U130="C",0,"Blm Diisi"))),IF(T130="A/B/C/D",IF(U130="A",1,IF(U130="B",0.67,IF(U130="C",0.33,IF(U130="D",0,"Blm Diisi")))),IF(T130="A/B/C/D/E",IF(U130="A",1,IF(U130="B",0.75,IF(U130="C",0.5,IF(U130="D",0.25,IF(U130="E",0,"Blm Diisi"))))),IF(T130="%",IF(U130="","Blm Diisi",U130),IF(T130="Jumlah",IF(U130="","Blm Diisi",""),IF(T130="Rupiah",IF(U130="","Blm Diisi",""),IF(T130="","","-"))))))))</f>
        <v>0</v>
      </c>
      <c r="W130" s="28"/>
      <c r="X130" s="36" t="s">
        <v>598</v>
      </c>
      <c r="Y130"/>
      <c r="Z130"/>
      <c r="AA130" s="36"/>
      <c r="AB130" s="28" t="s">
        <v>585</v>
      </c>
      <c r="AC130" s="28" t="str">
        <f>IF(OR(AC131="",AC132=""),"Blm Diisi",IF(AC132/AC131&gt;1,1,AC132/AC131))</f>
        <v>0</v>
      </c>
      <c r="AD130" s="28" t="str">
        <f>IF(AB130="Ya/Tidak",IF(AC130="Ya",1,IF(AC130="Tidak",0,"Blm Diisi")),IF(AB130="A/B/C",IF(AC130="A",1,IF(AC130="B",0.5,IF(AC130="C",0,"Blm Diisi"))),IF(AB130="A/B/C/D",IF(AC130="A",1,IF(AC130="B",0.67,IF(AC130="C",0.33,IF(AC130="D",0,"Blm Diisi")))),IF(AB130="A/B/C/D/E",IF(AC130="A",1,IF(AC130="B",0.75,IF(AC130="C",0.5,IF(AC130="D",0.25,IF(AC130="E",0,"Blm Diisi"))))),IF(AB130="%",IF(AC130="","Blm Diisi",AC130),IF(AB130="Jumlah",IF(AC130="","Blm Diisi",""),IF(AB130="Rupiah",IF(AC130="","Blm Diisi",""),IF(AB130="","","-"))))))))</f>
        <v>0</v>
      </c>
      <c r="AE130" s="28"/>
      <c r="AF130" s="36"/>
      <c r="AG130"/>
      <c r="AH130"/>
      <c r="AI130" s="36"/>
      <c r="AJ130" s="28" t="s">
        <v>585</v>
      </c>
      <c r="AK130" s="28" t="str">
        <f>IF(OR(AK131="",AK132=""),"Blm Diisi",IF(AK132/AK131&gt;1,1,AK132/AK131))</f>
        <v>0</v>
      </c>
      <c r="AL130" s="28" t="str">
        <f>IF(AJ130="Ya/Tidak",IF(AK130="Ya",1,IF(AK130="Tidak",0,"Blm Diisi")),IF(AJ130="A/B/C",IF(AK130="A",1,IF(AK130="B",0.5,IF(AK130="C",0,"Blm Diisi"))),IF(AJ130="A/B/C/D",IF(AK130="A",1,IF(AK130="B",0.67,IF(AK130="C",0.33,IF(AK130="D",0,"Blm Diisi")))),IF(AJ130="A/B/C/D/E",IF(AK130="A",1,IF(AK130="B",0.75,IF(AK130="C",0.5,IF(AK130="D",0.25,IF(AK130="E",0,"Blm Diisi"))))),IF(AJ130="%",IF(AK130="","Blm Diisi",AK130),IF(AJ130="Jumlah",IF(AK130="","Blm Diisi",""),IF(AJ130="Rupiah",IF(AK130="","Blm Diisi",""),IF(AJ130="","","-"))))))))</f>
        <v>0</v>
      </c>
      <c r="AM130" s="28"/>
      <c r="AN130" s="36"/>
    </row>
    <row r="131" spans="1:40">
      <c r="A131" t="s">
        <v>590</v>
      </c>
      <c r="B131" s="23"/>
      <c r="C131" s="23"/>
      <c r="D131" s="23"/>
      <c r="E131" s="23"/>
      <c r="F131" s="23"/>
      <c r="G131" s="23" t="s">
        <v>593</v>
      </c>
      <c r="H131" s="28"/>
      <c r="I131" s="23"/>
      <c r="J131" s="28" t="s">
        <v>592</v>
      </c>
      <c r="K131" s="29">
        <v>7</v>
      </c>
      <c r="L131" s="28" t="str">
        <f>IF(J131="Ya/Tidak",IF(K131="Ya",1,IF(K131="Tidak",0,"Blm Diisi")),IF(J131="A/B/C",IF(K131="A",1,IF(K131="B",0.5,IF(K131="C",0,"Blm Diisi"))),IF(J131="A/B/C/D",IF(K131="A",1,IF(K131="B",0.67,IF(K131="C",0.33,IF(K131="D",0,"Blm Diisi")))),IF(J131="A/B/C/D/E",IF(K131="A",1,IF(K131="B",0.75,IF(K131="C",0.5,IF(K131="D",0.25,IF(K131="E",0,"Blm Diisi"))))),IF(J131="%",IF(K131="","Blm Diisi",K131),IF(J131="Jumlah",IF(K131="","Blm Diisi",""),IF(J131="Rupiah",IF(K131="","Blm Diisi",""),IF(J131="","","-"))))))))</f>
        <v>0</v>
      </c>
      <c r="M131" s="28"/>
      <c r="O131" s="30"/>
      <c r="P131" s="30"/>
      <c r="Q131" s="35"/>
      <c r="R131"/>
      <c r="S131" s="36"/>
      <c r="T131" s="28" t="s">
        <v>592</v>
      </c>
      <c r="U131" s="28">
        <v>1</v>
      </c>
      <c r="V131" s="28" t="str">
        <f>IF(T131="Ya/Tidak",IF(U131="Ya",1,IF(U131="Tidak",0,"Blm Diisi")),IF(T131="A/B/C",IF(U131="A",1,IF(U131="B",0.5,IF(U131="C",0,"Blm Diisi"))),IF(T131="A/B/C/D",IF(U131="A",1,IF(U131="B",0.67,IF(U131="C",0.33,IF(U131="D",0,"Blm Diisi")))),IF(T131="A/B/C/D/E",IF(U131="A",1,IF(U131="B",0.75,IF(U131="C",0.5,IF(U131="D",0.25,IF(U131="E",0,"Blm Diisi"))))),IF(T131="%",IF(U131="","Blm Diisi",U131),IF(T131="Jumlah",IF(U131="","Blm Diisi",""),IF(T131="Rupiah",IF(U131="","Blm Diisi",""),IF(T131="","","-"))))))))</f>
        <v>0</v>
      </c>
      <c r="W131" s="28"/>
      <c r="X131" s="36"/>
      <c r="Y131"/>
      <c r="Z131"/>
      <c r="AA131" s="36"/>
      <c r="AB131" s="28" t="s">
        <v>592</v>
      </c>
      <c r="AC131" s="28"/>
      <c r="AD131" s="28" t="str">
        <f>IF(AB131="Ya/Tidak",IF(AC131="Ya",1,IF(AC131="Tidak",0,"Blm Diisi")),IF(AB131="A/B/C",IF(AC131="A",1,IF(AC131="B",0.5,IF(AC131="C",0,"Blm Diisi"))),IF(AB131="A/B/C/D",IF(AC131="A",1,IF(AC131="B",0.67,IF(AC131="C",0.33,IF(AC131="D",0,"Blm Diisi")))),IF(AB131="A/B/C/D/E",IF(AC131="A",1,IF(AC131="B",0.75,IF(AC131="C",0.5,IF(AC131="D",0.25,IF(AC131="E",0,"Blm Diisi"))))),IF(AB131="%",IF(AC131="","Blm Diisi",AC131),IF(AB131="Jumlah",IF(AC131="","Blm Diisi",""),IF(AB131="Rupiah",IF(AC131="","Blm Diisi",""),IF(AB131="","","-"))))))))</f>
        <v>0</v>
      </c>
      <c r="AE131" s="28"/>
      <c r="AF131" s="36"/>
      <c r="AG131"/>
      <c r="AH131"/>
      <c r="AI131" s="36"/>
      <c r="AJ131" s="28" t="s">
        <v>592</v>
      </c>
      <c r="AK131" s="28"/>
      <c r="AL131" s="28" t="str">
        <f>IF(AJ131="Ya/Tidak",IF(AK131="Ya",1,IF(AK131="Tidak",0,"Blm Diisi")),IF(AJ131="A/B/C",IF(AK131="A",1,IF(AK131="B",0.5,IF(AK131="C",0,"Blm Diisi"))),IF(AJ131="A/B/C/D",IF(AK131="A",1,IF(AK131="B",0.67,IF(AK131="C",0.33,IF(AK131="D",0,"Blm Diisi")))),IF(AJ131="A/B/C/D/E",IF(AK131="A",1,IF(AK131="B",0.75,IF(AK131="C",0.5,IF(AK131="D",0.25,IF(AK131="E",0,"Blm Diisi"))))),IF(AJ131="%",IF(AK131="","Blm Diisi",AK131),IF(AJ131="Jumlah",IF(AK131="","Blm Diisi",""),IF(AJ131="Rupiah",IF(AK131="","Blm Diisi",""),IF(AJ131="","","-"))))))))</f>
        <v>0</v>
      </c>
      <c r="AM131" s="28"/>
      <c r="AN131" s="36"/>
    </row>
    <row r="132" spans="1:40">
      <c r="A132" t="s">
        <v>590</v>
      </c>
      <c r="B132" s="23"/>
      <c r="C132" s="23"/>
      <c r="D132" s="23"/>
      <c r="E132" s="23"/>
      <c r="F132" s="23"/>
      <c r="G132" s="23" t="s">
        <v>599</v>
      </c>
      <c r="H132" s="28"/>
      <c r="I132" s="23"/>
      <c r="J132" s="28" t="s">
        <v>592</v>
      </c>
      <c r="K132" s="29">
        <v>7</v>
      </c>
      <c r="L132" s="28" t="str">
        <f>IF(J132="Ya/Tidak",IF(K132="Ya",1,IF(K132="Tidak",0,"Blm Diisi")),IF(J132="A/B/C",IF(K132="A",1,IF(K132="B",0.5,IF(K132="C",0,"Blm Diisi"))),IF(J132="A/B/C/D",IF(K132="A",1,IF(K132="B",0.67,IF(K132="C",0.33,IF(K132="D",0,"Blm Diisi")))),IF(J132="A/B/C/D/E",IF(K132="A",1,IF(K132="B",0.75,IF(K132="C",0.5,IF(K132="D",0.25,IF(K132="E",0,"Blm Diisi"))))),IF(J132="%",IF(K132="","Blm Diisi",K132),IF(J132="Jumlah",IF(K132="","Blm Diisi",""),IF(J132="Rupiah",IF(K132="","Blm Diisi",""),IF(J132="","","-"))))))))</f>
        <v>0</v>
      </c>
      <c r="M132" s="28"/>
      <c r="O132" s="30"/>
      <c r="P132" s="30"/>
      <c r="Q132" s="35"/>
      <c r="R132"/>
      <c r="S132" s="36"/>
      <c r="T132" s="28" t="s">
        <v>592</v>
      </c>
      <c r="U132" s="28">
        <v>1</v>
      </c>
      <c r="V132" s="28" t="str">
        <f>IF(T132="Ya/Tidak",IF(U132="Ya",1,IF(U132="Tidak",0,"Blm Diisi")),IF(T132="A/B/C",IF(U132="A",1,IF(U132="B",0.5,IF(U132="C",0,"Blm Diisi"))),IF(T132="A/B/C/D",IF(U132="A",1,IF(U132="B",0.67,IF(U132="C",0.33,IF(U132="D",0,"Blm Diisi")))),IF(T132="A/B/C/D/E",IF(U132="A",1,IF(U132="B",0.75,IF(U132="C",0.5,IF(U132="D",0.25,IF(U132="E",0,"Blm Diisi"))))),IF(T132="%",IF(U132="","Blm Diisi",U132),IF(T132="Jumlah",IF(U132="","Blm Diisi",""),IF(T132="Rupiah",IF(U132="","Blm Diisi",""),IF(T132="","","-"))))))))</f>
        <v>0</v>
      </c>
      <c r="W132" s="28"/>
      <c r="X132" s="36"/>
      <c r="Y132"/>
      <c r="Z132"/>
      <c r="AA132" s="36"/>
      <c r="AB132" s="28" t="s">
        <v>592</v>
      </c>
      <c r="AC132" s="28"/>
      <c r="AD132" s="28" t="str">
        <f>IF(AB132="Ya/Tidak",IF(AC132="Ya",1,IF(AC132="Tidak",0,"Blm Diisi")),IF(AB132="A/B/C",IF(AC132="A",1,IF(AC132="B",0.5,IF(AC132="C",0,"Blm Diisi"))),IF(AB132="A/B/C/D",IF(AC132="A",1,IF(AC132="B",0.67,IF(AC132="C",0.33,IF(AC132="D",0,"Blm Diisi")))),IF(AB132="A/B/C/D/E",IF(AC132="A",1,IF(AC132="B",0.75,IF(AC132="C",0.5,IF(AC132="D",0.25,IF(AC132="E",0,"Blm Diisi"))))),IF(AB132="%",IF(AC132="","Blm Diisi",AC132),IF(AB132="Jumlah",IF(AC132="","Blm Diisi",""),IF(AB132="Rupiah",IF(AC132="","Blm Diisi",""),IF(AB132="","","-"))))))))</f>
        <v>0</v>
      </c>
      <c r="AE132" s="28"/>
      <c r="AF132" s="36"/>
      <c r="AG132"/>
      <c r="AH132"/>
      <c r="AI132" s="36"/>
      <c r="AJ132" s="28" t="s">
        <v>592</v>
      </c>
      <c r="AK132" s="28"/>
      <c r="AL132" s="28" t="str">
        <f>IF(AJ132="Ya/Tidak",IF(AK132="Ya",1,IF(AK132="Tidak",0,"Blm Diisi")),IF(AJ132="A/B/C",IF(AK132="A",1,IF(AK132="B",0.5,IF(AK132="C",0,"Blm Diisi"))),IF(AJ132="A/B/C/D",IF(AK132="A",1,IF(AK132="B",0.67,IF(AK132="C",0.33,IF(AK132="D",0,"Blm Diisi")))),IF(AJ132="A/B/C/D/E",IF(AK132="A",1,IF(AK132="B",0.75,IF(AK132="C",0.5,IF(AK132="D",0.25,IF(AK132="E",0,"Blm Diisi"))))),IF(AJ132="%",IF(AK132="","Blm Diisi",AK132),IF(AJ132="Jumlah",IF(AK132="","Blm Diisi",""),IF(AJ132="Rupiah",IF(AK132="","Blm Diisi",""),IF(AJ132="","","-"))))))))</f>
        <v>0</v>
      </c>
      <c r="AM132" s="28"/>
      <c r="AN132" s="36"/>
    </row>
    <row r="133" spans="1:40">
      <c r="B133" s="22"/>
      <c r="C133" s="22"/>
      <c r="D133" s="22"/>
      <c r="E133" s="22" t="s">
        <v>40</v>
      </c>
      <c r="F133" s="22" t="s">
        <v>600</v>
      </c>
      <c r="G133" s="22"/>
      <c r="H133" s="27">
        <v>1</v>
      </c>
      <c r="I133" s="22"/>
      <c r="J133" s="27"/>
      <c r="K133" s="27"/>
      <c r="L133" s="27" t="str">
        <f>AVERAGE(L134)*H133</f>
        <v>0</v>
      </c>
      <c r="M133" s="27" t="str">
        <f>L133/H133</f>
        <v>0</v>
      </c>
      <c r="N133" s="1"/>
      <c r="O133" s="22"/>
      <c r="P133" s="22"/>
      <c r="Q133" s="34"/>
      <c r="R133"/>
      <c r="S133" s="36">
        <v>1</v>
      </c>
      <c r="T133" s="28"/>
      <c r="U133" s="28"/>
      <c r="V133" s="28" t="str">
        <f>AVERAGE(V134)*S133</f>
        <v>0</v>
      </c>
      <c r="W133" s="28" t="str">
        <f>V133/S133</f>
        <v>0</v>
      </c>
      <c r="X133" s="36"/>
      <c r="Y133"/>
      <c r="Z133"/>
      <c r="AA133" s="36">
        <v>1</v>
      </c>
      <c r="AB133" s="28"/>
      <c r="AC133" s="28"/>
      <c r="AD133" s="28" t="str">
        <f>AVERAGE(AD134)*AA133</f>
        <v>0</v>
      </c>
      <c r="AE133" s="28" t="str">
        <f>AD133/AA133</f>
        <v>0</v>
      </c>
      <c r="AF133" s="36"/>
      <c r="AG133"/>
      <c r="AH133"/>
      <c r="AI133" s="36">
        <v>1</v>
      </c>
      <c r="AJ133" s="28"/>
      <c r="AK133" s="28"/>
      <c r="AL133" s="28" t="str">
        <f>AVERAGE(AL134)*AI133</f>
        <v>0</v>
      </c>
      <c r="AM133" s="28" t="str">
        <f>AL133/AI133</f>
        <v>0</v>
      </c>
      <c r="AN133" s="36"/>
    </row>
    <row r="134" spans="1:40">
      <c r="A134" t="s">
        <v>20</v>
      </c>
      <c r="B134" s="23"/>
      <c r="C134" s="23"/>
      <c r="D134" s="23"/>
      <c r="E134" s="23"/>
      <c r="F134" s="23" t="s">
        <v>601</v>
      </c>
      <c r="G134" s="23" t="s">
        <v>602</v>
      </c>
      <c r="H134" s="28"/>
      <c r="I134" s="23" t="s">
        <v>603</v>
      </c>
      <c r="J134" s="28" t="s">
        <v>116</v>
      </c>
      <c r="K134" s="29" t="s">
        <v>34</v>
      </c>
      <c r="L134" s="28" t="str">
        <f>IF(J134="Ya/Tidak",IF(K134="Ya",1,IF(K134="Tidak",0,"Blm Diisi")),IF(J134="A/B/C",IF(K134="A",1,IF(K134="B",0.5,IF(K134="C",0,"Blm Diisi"))),IF(J134="A/B/C/D",IF(K134="A",1,IF(K134="B",0.67,IF(K134="C",0.33,IF(K134="D",0,"Blm Diisi")))),IF(J134="A/B/C/D/E",IF(K134="A",1,IF(K134="B",0.75,IF(K134="C",0.5,IF(K134="D",0.25,IF(K134="E",0,"Blm Diisi"))))),IF(J134="%",IF(K134="","Blm Diisi",K134),IF(J134="Jumlah",IF(K134="","Blm Diisi",""),IF(J134="Rupiah",IF(K134="","Blm Diisi",""),IF(J134="","","-"))))))))</f>
        <v>0</v>
      </c>
      <c r="M134" s="28"/>
      <c r="O134" s="30" t="s">
        <v>604</v>
      </c>
      <c r="P134" s="30" t="s">
        <v>605</v>
      </c>
      <c r="Q134" s="35" t="s">
        <v>606</v>
      </c>
      <c r="R134"/>
      <c r="S134" s="36"/>
      <c r="T134" s="28" t="s">
        <v>116</v>
      </c>
      <c r="U134" s="28" t="s">
        <v>38</v>
      </c>
      <c r="V134" s="28" t="str">
        <f>IF(T134="Ya/Tidak",IF(U134="Ya",1,IF(U134="Tidak",0,"Blm Diisi")),IF(T134="A/B/C",IF(U134="A",1,IF(U134="B",0.5,IF(U134="C",0,"Blm Diisi"))),IF(T134="A/B/C/D",IF(U134="A",1,IF(U134="B",0.67,IF(U134="C",0.33,IF(U134="D",0,"Blm Diisi")))),IF(T134="A/B/C/D/E",IF(U134="A",1,IF(U134="B",0.75,IF(U134="C",0.5,IF(U134="D",0.25,IF(U134="E",0,"Blm Diisi"))))),IF(T134="%",IF(U134="","Blm Diisi",U134),IF(T134="Jumlah",IF(U134="","Blm Diisi",""),IF(T134="Rupiah",IF(U134="","Blm Diisi",""),IF(T134="","","-"))))))))</f>
        <v>0</v>
      </c>
      <c r="W134" s="28"/>
      <c r="X134" s="36" t="s">
        <v>607</v>
      </c>
      <c r="Y134"/>
      <c r="Z134"/>
      <c r="AA134" s="36"/>
      <c r="AB134" s="28" t="s">
        <v>116</v>
      </c>
      <c r="AC134" s="28"/>
      <c r="AD134" s="28" t="str">
        <f>IF(AB134="Ya/Tidak",IF(AC134="Ya",1,IF(AC134="Tidak",0,"Blm Diisi")),IF(AB134="A/B/C",IF(AC134="A",1,IF(AC134="B",0.5,IF(AC134="C",0,"Blm Diisi"))),IF(AB134="A/B/C/D",IF(AC134="A",1,IF(AC134="B",0.67,IF(AC134="C",0.33,IF(AC134="D",0,"Blm Diisi")))),IF(AB134="A/B/C/D/E",IF(AC134="A",1,IF(AC134="B",0.75,IF(AC134="C",0.5,IF(AC134="D",0.25,IF(AC134="E",0,"Blm Diisi"))))),IF(AB134="%",IF(AC134="","Blm Diisi",AC134),IF(AB134="Jumlah",IF(AC134="","Blm Diisi",""),IF(AB134="Rupiah",IF(AC134="","Blm Diisi",""),IF(AB134="","","-"))))))))</f>
        <v>0</v>
      </c>
      <c r="AE134" s="28"/>
      <c r="AF134" s="36"/>
      <c r="AG134"/>
      <c r="AH134"/>
      <c r="AI134" s="36"/>
      <c r="AJ134" s="28" t="s">
        <v>116</v>
      </c>
      <c r="AK134" s="28"/>
      <c r="AL134" s="28" t="str">
        <f>IF(AJ134="Ya/Tidak",IF(AK134="Ya",1,IF(AK134="Tidak",0,"Blm Diisi")),IF(AJ134="A/B/C",IF(AK134="A",1,IF(AK134="B",0.5,IF(AK134="C",0,"Blm Diisi"))),IF(AJ134="A/B/C/D",IF(AK134="A",1,IF(AK134="B",0.67,IF(AK134="C",0.33,IF(AK134="D",0,"Blm Diisi")))),IF(AJ134="A/B/C/D/E",IF(AK134="A",1,IF(AK134="B",0.75,IF(AK134="C",0.5,IF(AK134="D",0.25,IF(AK134="E",0,"Blm Diisi"))))),IF(AJ134="%",IF(AK134="","Blm Diisi",AK134),IF(AJ134="Jumlah",IF(AK134="","Blm Diisi",""),IF(AJ134="Rupiah",IF(AK134="","Blm Diisi",""),IF(AJ134="","","-"))))))))</f>
        <v>0</v>
      </c>
      <c r="AM134" s="28"/>
      <c r="AN134" s="36"/>
    </row>
    <row r="135" spans="1:40">
      <c r="B135" s="22"/>
      <c r="C135" s="22"/>
      <c r="D135" s="22"/>
      <c r="E135" s="22" t="s">
        <v>59</v>
      </c>
      <c r="F135" s="22" t="s">
        <v>608</v>
      </c>
      <c r="G135" s="22"/>
      <c r="H135" s="27">
        <v>1</v>
      </c>
      <c r="I135" s="22"/>
      <c r="J135" s="27"/>
      <c r="K135" s="27"/>
      <c r="L135" s="27" t="str">
        <f>AVERAGE(L136)*H135</f>
        <v>0</v>
      </c>
      <c r="M135" s="27" t="str">
        <f>L135/H135</f>
        <v>0</v>
      </c>
      <c r="N135" s="1"/>
      <c r="O135" s="22"/>
      <c r="P135" s="22"/>
      <c r="Q135" s="34"/>
      <c r="R135"/>
      <c r="S135" s="36">
        <v>1</v>
      </c>
      <c r="T135" s="28"/>
      <c r="U135" s="28"/>
      <c r="V135" s="28" t="str">
        <f>AVERAGE(V136)*S135</f>
        <v>0</v>
      </c>
      <c r="W135" s="28" t="str">
        <f>V135/S135</f>
        <v>0</v>
      </c>
      <c r="X135" s="36"/>
      <c r="Y135"/>
      <c r="Z135"/>
      <c r="AA135" s="36">
        <v>1</v>
      </c>
      <c r="AB135" s="28"/>
      <c r="AC135" s="28"/>
      <c r="AD135" s="28" t="str">
        <f>AVERAGE(AD136)*AA135</f>
        <v>0</v>
      </c>
      <c r="AE135" s="28" t="str">
        <f>AD135/AA135</f>
        <v>0</v>
      </c>
      <c r="AF135" s="36"/>
      <c r="AG135"/>
      <c r="AH135"/>
      <c r="AI135" s="36">
        <v>1</v>
      </c>
      <c r="AJ135" s="28"/>
      <c r="AK135" s="28"/>
      <c r="AL135" s="28" t="str">
        <f>AVERAGE(AL136)*AI135</f>
        <v>0</v>
      </c>
      <c r="AM135" s="28" t="str">
        <f>AL135/AI135</f>
        <v>0</v>
      </c>
      <c r="AN135" s="36"/>
    </row>
    <row r="136" spans="1:40">
      <c r="A136" t="s">
        <v>20</v>
      </c>
      <c r="B136" s="23"/>
      <c r="C136" s="23"/>
      <c r="D136" s="23"/>
      <c r="E136" s="23"/>
      <c r="F136" s="23" t="s">
        <v>601</v>
      </c>
      <c r="G136" s="23" t="s">
        <v>609</v>
      </c>
      <c r="H136" s="28"/>
      <c r="I136" s="23" t="s">
        <v>610</v>
      </c>
      <c r="J136" s="28" t="s">
        <v>63</v>
      </c>
      <c r="K136" s="29" t="s">
        <v>34</v>
      </c>
      <c r="L136" s="28" t="str">
        <f>IF(J136="Ya/Tidak",IF(K136="Ya",1,IF(K136="Tidak",0,"Blm Diisi")),IF(J136="A/B/C",IF(K136="A",1,IF(K136="B",0.5,IF(K136="C",0,"Blm Diisi"))),IF(J136="A/B/C/D",IF(K136="A",1,IF(K136="B",0.67,IF(K136="C",0.33,IF(K136="D",0,"Blm Diisi")))),IF(J136="A/B/C/D/E",IF(K136="A",1,IF(K136="B",0.75,IF(K136="C",0.5,IF(K136="D",0.25,IF(K136="E",0,"Blm Diisi"))))),IF(J136="%",IF(K136="","Blm Diisi",K136),IF(J136="Jumlah",IF(K136="","Blm Diisi",""),IF(J136="Rupiah",IF(K136="","Blm Diisi",""),IF(J136="","","-"))))))))</f>
        <v>0</v>
      </c>
      <c r="M136" s="28"/>
      <c r="O136" s="30" t="s">
        <v>611</v>
      </c>
      <c r="P136" s="30" t="s">
        <v>612</v>
      </c>
      <c r="Q136" s="35" t="s">
        <v>613</v>
      </c>
      <c r="R136"/>
      <c r="S136" s="36"/>
      <c r="T136" s="28" t="s">
        <v>63</v>
      </c>
      <c r="U136" s="28" t="s">
        <v>38</v>
      </c>
      <c r="V136" s="28" t="str">
        <f>IF(T136="Ya/Tidak",IF(U136="Ya",1,IF(U136="Tidak",0,"Blm Diisi")),IF(T136="A/B/C",IF(U136="A",1,IF(U136="B",0.5,IF(U136="C",0,"Blm Diisi"))),IF(T136="A/B/C/D",IF(U136="A",1,IF(U136="B",0.67,IF(U136="C",0.33,IF(U136="D",0,"Blm Diisi")))),IF(T136="A/B/C/D/E",IF(U136="A",1,IF(U136="B",0.75,IF(U136="C",0.5,IF(U136="D",0.25,IF(U136="E",0,"Blm Diisi"))))),IF(T136="%",IF(U136="","Blm Diisi",U136),IF(T136="Jumlah",IF(U136="","Blm Diisi",""),IF(T136="Rupiah",IF(U136="","Blm Diisi",""),IF(T136="","","-"))))))))</f>
        <v>0</v>
      </c>
      <c r="W136" s="28"/>
      <c r="X136" s="36" t="s">
        <v>614</v>
      </c>
      <c r="Y136"/>
      <c r="Z136"/>
      <c r="AA136" s="36"/>
      <c r="AB136" s="28" t="s">
        <v>63</v>
      </c>
      <c r="AC136" s="28"/>
      <c r="AD136" s="28" t="str">
        <f>IF(AB136="Ya/Tidak",IF(AC136="Ya",1,IF(AC136="Tidak",0,"Blm Diisi")),IF(AB136="A/B/C",IF(AC136="A",1,IF(AC136="B",0.5,IF(AC136="C",0,"Blm Diisi"))),IF(AB136="A/B/C/D",IF(AC136="A",1,IF(AC136="B",0.67,IF(AC136="C",0.33,IF(AC136="D",0,"Blm Diisi")))),IF(AB136="A/B/C/D/E",IF(AC136="A",1,IF(AC136="B",0.75,IF(AC136="C",0.5,IF(AC136="D",0.25,IF(AC136="E",0,"Blm Diisi"))))),IF(AB136="%",IF(AC136="","Blm Diisi",AC136),IF(AB136="Jumlah",IF(AC136="","Blm Diisi",""),IF(AB136="Rupiah",IF(AC136="","Blm Diisi",""),IF(AB136="","","-"))))))))</f>
        <v>0</v>
      </c>
      <c r="AE136" s="28"/>
      <c r="AF136" s="36"/>
      <c r="AG136"/>
      <c r="AH136"/>
      <c r="AI136" s="36"/>
      <c r="AJ136" s="28" t="s">
        <v>63</v>
      </c>
      <c r="AK136" s="28"/>
      <c r="AL136" s="28" t="str">
        <f>IF(AJ136="Ya/Tidak",IF(AK136="Ya",1,IF(AK136="Tidak",0,"Blm Diisi")),IF(AJ136="A/B/C",IF(AK136="A",1,IF(AK136="B",0.5,IF(AK136="C",0,"Blm Diisi"))),IF(AJ136="A/B/C/D",IF(AK136="A",1,IF(AK136="B",0.67,IF(AK136="C",0.33,IF(AK136="D",0,"Blm Diisi")))),IF(AJ136="A/B/C/D/E",IF(AK136="A",1,IF(AK136="B",0.75,IF(AK136="C",0.5,IF(AK136="D",0.25,IF(AK136="E",0,"Blm Diisi"))))),IF(AJ136="%",IF(AK136="","Blm Diisi",AK136),IF(AJ136="Jumlah",IF(AK136="","Blm Diisi",""),IF(AJ136="Rupiah",IF(AK136="","Blm Diisi",""),IF(AJ136="","","-"))))))))</f>
        <v>0</v>
      </c>
      <c r="AM136" s="28"/>
      <c r="AN136" s="36"/>
    </row>
    <row r="137" spans="1:40">
      <c r="B137" s="21"/>
      <c r="C137" s="21"/>
      <c r="D137" s="21">
        <v>2.0</v>
      </c>
      <c r="E137" s="21" t="s">
        <v>106</v>
      </c>
      <c r="F137" s="21"/>
      <c r="G137" s="21"/>
      <c r="H137" s="26">
        <v>3.5</v>
      </c>
      <c r="I137" s="21"/>
      <c r="J137" s="26"/>
      <c r="K137" s="26"/>
      <c r="L137" s="26" t="str">
        <f>SUM(L138,L140,L143)</f>
        <v>0</v>
      </c>
      <c r="M137" s="26" t="str">
        <f>L137/H137</f>
        <v>0</v>
      </c>
      <c r="N137" s="1"/>
      <c r="O137" s="21"/>
      <c r="P137" s="21"/>
      <c r="Q137" s="33"/>
      <c r="R137"/>
      <c r="S137" s="36">
        <v>3.5</v>
      </c>
      <c r="T137" s="28"/>
      <c r="U137" s="28"/>
      <c r="V137" s="28" t="str">
        <f>SUM(V138,V140,V143)</f>
        <v>0</v>
      </c>
      <c r="W137" s="28" t="str">
        <f>V137/S137</f>
        <v>0</v>
      </c>
      <c r="X137" s="36"/>
      <c r="Y137"/>
      <c r="Z137"/>
      <c r="AA137" s="36">
        <v>3.5</v>
      </c>
      <c r="AB137" s="28"/>
      <c r="AC137" s="28"/>
      <c r="AD137" s="28" t="str">
        <f>SUM(AD138,AD140,AD143)</f>
        <v>0</v>
      </c>
      <c r="AE137" s="28" t="str">
        <f>AD137/AA137</f>
        <v>0</v>
      </c>
      <c r="AF137" s="36"/>
      <c r="AG137"/>
      <c r="AH137"/>
      <c r="AI137" s="36">
        <v>3.5</v>
      </c>
      <c r="AJ137" s="28"/>
      <c r="AK137" s="28"/>
      <c r="AL137" s="28" t="str">
        <f>SUM(AL138,AL140,AL143)</f>
        <v>0</v>
      </c>
      <c r="AM137" s="28" t="str">
        <f>AL137/AI137</f>
        <v>0</v>
      </c>
      <c r="AN137" s="36"/>
    </row>
    <row r="138" spans="1:40">
      <c r="B138" s="22"/>
      <c r="C138" s="22"/>
      <c r="D138" s="22"/>
      <c r="E138" s="22" t="s">
        <v>18</v>
      </c>
      <c r="F138" s="22" t="s">
        <v>615</v>
      </c>
      <c r="G138" s="22"/>
      <c r="H138" s="27">
        <v>0.5</v>
      </c>
      <c r="I138" s="22"/>
      <c r="J138" s="27"/>
      <c r="K138" s="27"/>
      <c r="L138" s="27" t="str">
        <f>AVERAGE(L139)*H138</f>
        <v>0</v>
      </c>
      <c r="M138" s="27" t="str">
        <f>L138/H138</f>
        <v>0</v>
      </c>
      <c r="N138" s="1"/>
      <c r="O138" s="22"/>
      <c r="P138" s="22"/>
      <c r="Q138" s="34"/>
      <c r="R138"/>
      <c r="S138" s="36">
        <v>0.5</v>
      </c>
      <c r="T138" s="28"/>
      <c r="U138" s="28"/>
      <c r="V138" s="28" t="str">
        <f>AVERAGE(V139)*S138</f>
        <v>0</v>
      </c>
      <c r="W138" s="28" t="str">
        <f>V138/S138</f>
        <v>0</v>
      </c>
      <c r="X138" s="36"/>
      <c r="Y138"/>
      <c r="Z138"/>
      <c r="AA138" s="36">
        <v>0.5</v>
      </c>
      <c r="AB138" s="28"/>
      <c r="AC138" s="28"/>
      <c r="AD138" s="28" t="str">
        <f>AVERAGE(AD139)*AA138</f>
        <v>0</v>
      </c>
      <c r="AE138" s="28" t="str">
        <f>AD138/AA138</f>
        <v>0</v>
      </c>
      <c r="AF138" s="36"/>
      <c r="AG138"/>
      <c r="AH138"/>
      <c r="AI138" s="36">
        <v>0.5</v>
      </c>
      <c r="AJ138" s="28"/>
      <c r="AK138" s="28"/>
      <c r="AL138" s="28" t="str">
        <f>AVERAGE(AL139)*AI138</f>
        <v>0</v>
      </c>
      <c r="AM138" s="28" t="str">
        <f>AL138/AI138</f>
        <v>0</v>
      </c>
      <c r="AN138" s="36"/>
    </row>
    <row r="139" spans="1:40">
      <c r="A139" t="s">
        <v>20</v>
      </c>
      <c r="B139" s="23"/>
      <c r="C139" s="23"/>
      <c r="D139" s="23"/>
      <c r="E139" s="23"/>
      <c r="F139" s="23" t="s">
        <v>601</v>
      </c>
      <c r="G139" s="23" t="s">
        <v>616</v>
      </c>
      <c r="H139" s="28"/>
      <c r="I139" s="23" t="s">
        <v>617</v>
      </c>
      <c r="J139" s="28" t="s">
        <v>63</v>
      </c>
      <c r="K139" s="29" t="s">
        <v>34</v>
      </c>
      <c r="L139" s="28" t="str">
        <f>IF(J139="Ya/Tidak",IF(K139="Ya",1,IF(K139="Tidak",0,"Blm Diisi")),IF(J139="A/B/C",IF(K139="A",1,IF(K139="B",0.5,IF(K139="C",0,"Blm Diisi"))),IF(J139="A/B/C/D",IF(K139="A",1,IF(K139="B",0.67,IF(K139="C",0.33,IF(K139="D",0,"Blm Diisi")))),IF(J139="A/B/C/D/E",IF(K139="A",1,IF(K139="B",0.75,IF(K139="C",0.5,IF(K139="D",0.25,IF(K139="E",0,"Blm Diisi"))))),IF(J139="%",IF(K139="","Blm Diisi",K139),IF(J139="Jumlah",IF(K139="","Blm Diisi",""),IF(J139="Rupiah",IF(K139="","Blm Diisi",""),IF(J139="","","-"))))))))</f>
        <v>0</v>
      </c>
      <c r="M139" s="28"/>
      <c r="O139" s="30" t="s">
        <v>618</v>
      </c>
      <c r="P139" s="30" t="s">
        <v>619</v>
      </c>
      <c r="Q139" s="35" t="s">
        <v>620</v>
      </c>
      <c r="R139"/>
      <c r="S139" s="36"/>
      <c r="T139" s="28" t="s">
        <v>63</v>
      </c>
      <c r="U139" s="28" t="s">
        <v>34</v>
      </c>
      <c r="V139" s="28" t="str">
        <f>IF(T139="Ya/Tidak",IF(U139="Ya",1,IF(U139="Tidak",0,"Blm Diisi")),IF(T139="A/B/C",IF(U139="A",1,IF(U139="B",0.5,IF(U139="C",0,"Blm Diisi"))),IF(T139="A/B/C/D",IF(U139="A",1,IF(U139="B",0.67,IF(U139="C",0.33,IF(U139="D",0,"Blm Diisi")))),IF(T139="A/B/C/D/E",IF(U139="A",1,IF(U139="B",0.75,IF(U139="C",0.5,IF(U139="D",0.25,IF(U139="E",0,"Blm Diisi"))))),IF(T139="%",IF(U139="","Blm Diisi",U139),IF(T139="Jumlah",IF(U139="","Blm Diisi",""),IF(T139="Rupiah",IF(U139="","Blm Diisi",""),IF(T139="","","-"))))))))</f>
        <v>0</v>
      </c>
      <c r="W139" s="28"/>
      <c r="X139" s="36" t="s">
        <v>621</v>
      </c>
      <c r="Y139"/>
      <c r="Z139"/>
      <c r="AA139" s="36"/>
      <c r="AB139" s="28" t="s">
        <v>63</v>
      </c>
      <c r="AC139" s="28"/>
      <c r="AD139" s="28" t="str">
        <f>IF(AB139="Ya/Tidak",IF(AC139="Ya",1,IF(AC139="Tidak",0,"Blm Diisi")),IF(AB139="A/B/C",IF(AC139="A",1,IF(AC139="B",0.5,IF(AC139="C",0,"Blm Diisi"))),IF(AB139="A/B/C/D",IF(AC139="A",1,IF(AC139="B",0.67,IF(AC139="C",0.33,IF(AC139="D",0,"Blm Diisi")))),IF(AB139="A/B/C/D/E",IF(AC139="A",1,IF(AC139="B",0.75,IF(AC139="C",0.5,IF(AC139="D",0.25,IF(AC139="E",0,"Blm Diisi"))))),IF(AB139="%",IF(AC139="","Blm Diisi",AC139),IF(AB139="Jumlah",IF(AC139="","Blm Diisi",""),IF(AB139="Rupiah",IF(AC139="","Blm Diisi",""),IF(AB139="","","-"))))))))</f>
        <v>0</v>
      </c>
      <c r="AE139" s="28"/>
      <c r="AF139" s="36"/>
      <c r="AG139"/>
      <c r="AH139"/>
      <c r="AI139" s="36"/>
      <c r="AJ139" s="28" t="s">
        <v>63</v>
      </c>
      <c r="AK139" s="28"/>
      <c r="AL139" s="28" t="str">
        <f>IF(AJ139="Ya/Tidak",IF(AK139="Ya",1,IF(AK139="Tidak",0,"Blm Diisi")),IF(AJ139="A/B/C",IF(AK139="A",1,IF(AK139="B",0.5,IF(AK139="C",0,"Blm Diisi"))),IF(AJ139="A/B/C/D",IF(AK139="A",1,IF(AK139="B",0.67,IF(AK139="C",0.33,IF(AK139="D",0,"Blm Diisi")))),IF(AJ139="A/B/C/D/E",IF(AK139="A",1,IF(AK139="B",0.75,IF(AK139="C",0.5,IF(AK139="D",0.25,IF(AK139="E",0,"Blm Diisi"))))),IF(AJ139="%",IF(AK139="","Blm Diisi",AK139),IF(AJ139="Jumlah",IF(AK139="","Blm Diisi",""),IF(AJ139="Rupiah",IF(AK139="","Blm Diisi",""),IF(AJ139="","","-"))))))))</f>
        <v>0</v>
      </c>
      <c r="AM139" s="28"/>
      <c r="AN139" s="36"/>
    </row>
    <row r="140" spans="1:40">
      <c r="B140" s="22"/>
      <c r="C140" s="22"/>
      <c r="D140" s="22"/>
      <c r="E140" s="22" t="s">
        <v>40</v>
      </c>
      <c r="F140" s="22" t="s">
        <v>622</v>
      </c>
      <c r="G140" s="22"/>
      <c r="H140" s="27">
        <v>1</v>
      </c>
      <c r="I140" s="22"/>
      <c r="J140" s="27"/>
      <c r="K140" s="27"/>
      <c r="L140" s="27" t="str">
        <f>AVERAGE(L141:L142)*H140</f>
        <v>0</v>
      </c>
      <c r="M140" s="27" t="str">
        <f>L140/H140</f>
        <v>0</v>
      </c>
      <c r="N140" s="1"/>
      <c r="O140" s="22"/>
      <c r="P140" s="22"/>
      <c r="Q140" s="34"/>
      <c r="R140"/>
      <c r="S140" s="36">
        <v>1</v>
      </c>
      <c r="T140" s="28"/>
      <c r="U140" s="28"/>
      <c r="V140" s="28" t="str">
        <f>AVERAGE(V141:V142)*S140</f>
        <v>0</v>
      </c>
      <c r="W140" s="28" t="str">
        <f>V140/S140</f>
        <v>0</v>
      </c>
      <c r="X140" s="36"/>
      <c r="Y140"/>
      <c r="Z140"/>
      <c r="AA140" s="36">
        <v>1</v>
      </c>
      <c r="AB140" s="28"/>
      <c r="AC140" s="28"/>
      <c r="AD140" s="28" t="str">
        <f>AVERAGE(AD141:AD142)*AA140</f>
        <v>0</v>
      </c>
      <c r="AE140" s="28" t="str">
        <f>AD140/AA140</f>
        <v>0</v>
      </c>
      <c r="AF140" s="36"/>
      <c r="AG140"/>
      <c r="AH140"/>
      <c r="AI140" s="36">
        <v>1</v>
      </c>
      <c r="AJ140" s="28"/>
      <c r="AK140" s="28"/>
      <c r="AL140" s="28" t="str">
        <f>AVERAGE(AL141:AL142)*AI140</f>
        <v>0</v>
      </c>
      <c r="AM140" s="28" t="str">
        <f>AL140/AI140</f>
        <v>0</v>
      </c>
      <c r="AN140" s="36"/>
    </row>
    <row r="141" spans="1:40">
      <c r="A141" t="s">
        <v>20</v>
      </c>
      <c r="B141" s="23"/>
      <c r="C141" s="23"/>
      <c r="D141" s="23"/>
      <c r="E141" s="23"/>
      <c r="F141" s="23" t="s">
        <v>623</v>
      </c>
      <c r="G141" s="23" t="s">
        <v>624</v>
      </c>
      <c r="H141" s="28"/>
      <c r="I141" s="23" t="s">
        <v>625</v>
      </c>
      <c r="J141" s="28" t="s">
        <v>33</v>
      </c>
      <c r="K141" s="29" t="s">
        <v>34</v>
      </c>
      <c r="L141" s="28" t="str">
        <f>IF(J141="Ya/Tidak",IF(K141="Ya",1,IF(K141="Tidak",0,"Blm Diisi")),IF(J141="A/B/C",IF(K141="A",1,IF(K141="B",0.5,IF(K141="C",0,"Blm Diisi"))),IF(J141="A/B/C/D",IF(K141="A",1,IF(K141="B",0.67,IF(K141="C",0.33,IF(K141="D",0,"Blm Diisi")))),IF(J141="A/B/C/D/E",IF(K141="A",1,IF(K141="B",0.75,IF(K141="C",0.5,IF(K141="D",0.25,IF(K141="E",0,"Blm Diisi"))))),IF(J141="%",IF(K141="","Blm Diisi",K141),IF(J141="Jumlah",IF(K141="","Blm Diisi",""),IF(J141="Rupiah",IF(K141="","Blm Diisi",""),IF(J141="","","-"))))))))</f>
        <v>0</v>
      </c>
      <c r="M141" s="28"/>
      <c r="O141" s="30" t="s">
        <v>626</v>
      </c>
      <c r="P141" s="30" t="s">
        <v>627</v>
      </c>
      <c r="Q141" s="35" t="s">
        <v>628</v>
      </c>
      <c r="R141"/>
      <c r="S141" s="36"/>
      <c r="T141" s="28" t="s">
        <v>33</v>
      </c>
      <c r="U141" s="28" t="s">
        <v>34</v>
      </c>
      <c r="V141" s="28" t="str">
        <f>IF(T141="Ya/Tidak",IF(U141="Ya",1,IF(U141="Tidak",0,"Blm Diisi")),IF(T141="A/B/C",IF(U141="A",1,IF(U141="B",0.5,IF(U141="C",0,"Blm Diisi"))),IF(T141="A/B/C/D",IF(U141="A",1,IF(U141="B",0.67,IF(U141="C",0.33,IF(U141="D",0,"Blm Diisi")))),IF(T141="A/B/C/D/E",IF(U141="A",1,IF(U141="B",0.75,IF(U141="C",0.5,IF(U141="D",0.25,IF(U141="E",0,"Blm Diisi"))))),IF(T141="%",IF(U141="","Blm Diisi",U141),IF(T141="Jumlah",IF(U141="","Blm Diisi",""),IF(T141="Rupiah",IF(U141="","Blm Diisi",""),IF(T141="","","-"))))))))</f>
        <v>0</v>
      </c>
      <c r="W141" s="28"/>
      <c r="X141" s="36" t="s">
        <v>629</v>
      </c>
      <c r="Y141"/>
      <c r="Z141"/>
      <c r="AA141" s="36"/>
      <c r="AB141" s="28" t="s">
        <v>33</v>
      </c>
      <c r="AC141" s="28"/>
      <c r="AD141" s="28" t="str">
        <f>IF(AB141="Ya/Tidak",IF(AC141="Ya",1,IF(AC141="Tidak",0,"Blm Diisi")),IF(AB141="A/B/C",IF(AC141="A",1,IF(AC141="B",0.5,IF(AC141="C",0,"Blm Diisi"))),IF(AB141="A/B/C/D",IF(AC141="A",1,IF(AC141="B",0.67,IF(AC141="C",0.33,IF(AC141="D",0,"Blm Diisi")))),IF(AB141="A/B/C/D/E",IF(AC141="A",1,IF(AC141="B",0.75,IF(AC141="C",0.5,IF(AC141="D",0.25,IF(AC141="E",0,"Blm Diisi"))))),IF(AB141="%",IF(AC141="","Blm Diisi",AC141),IF(AB141="Jumlah",IF(AC141="","Blm Diisi",""),IF(AB141="Rupiah",IF(AC141="","Blm Diisi",""),IF(AB141="","","-"))))))))</f>
        <v>0</v>
      </c>
      <c r="AE141" s="28"/>
      <c r="AF141" s="36"/>
      <c r="AG141"/>
      <c r="AH141"/>
      <c r="AI141" s="36"/>
      <c r="AJ141" s="28" t="s">
        <v>33</v>
      </c>
      <c r="AK141" s="28"/>
      <c r="AL141" s="28" t="str">
        <f>IF(AJ141="Ya/Tidak",IF(AK141="Ya",1,IF(AK141="Tidak",0,"Blm Diisi")),IF(AJ141="A/B/C",IF(AK141="A",1,IF(AK141="B",0.5,IF(AK141="C",0,"Blm Diisi"))),IF(AJ141="A/B/C/D",IF(AK141="A",1,IF(AK141="B",0.67,IF(AK141="C",0.33,IF(AK141="D",0,"Blm Diisi")))),IF(AJ141="A/B/C/D/E",IF(AK141="A",1,IF(AK141="B",0.75,IF(AK141="C",0.5,IF(AK141="D",0.25,IF(AK141="E",0,"Blm Diisi"))))),IF(AJ141="%",IF(AK141="","Blm Diisi",AK141),IF(AJ141="Jumlah",IF(AK141="","Blm Diisi",""),IF(AJ141="Rupiah",IF(AK141="","Blm Diisi",""),IF(AJ141="","","-"))))))))</f>
        <v>0</v>
      </c>
      <c r="AM141" s="28"/>
      <c r="AN141" s="36"/>
    </row>
    <row r="142" spans="1:40">
      <c r="A142" t="s">
        <v>20</v>
      </c>
      <c r="B142" s="23"/>
      <c r="C142" s="23"/>
      <c r="D142" s="23"/>
      <c r="E142" s="23"/>
      <c r="F142" s="23" t="s">
        <v>630</v>
      </c>
      <c r="G142" s="23" t="s">
        <v>631</v>
      </c>
      <c r="H142" s="28"/>
      <c r="I142" s="23" t="s">
        <v>632</v>
      </c>
      <c r="J142" s="28" t="s">
        <v>33</v>
      </c>
      <c r="K142" s="29" t="s">
        <v>34</v>
      </c>
      <c r="L142" s="28" t="str">
        <f>IF(J142="Ya/Tidak",IF(K142="Ya",1,IF(K142="Tidak",0,"Blm Diisi")),IF(J142="A/B/C",IF(K142="A",1,IF(K142="B",0.5,IF(K142="C",0,"Blm Diisi"))),IF(J142="A/B/C/D",IF(K142="A",1,IF(K142="B",0.67,IF(K142="C",0.33,IF(K142="D",0,"Blm Diisi")))),IF(J142="A/B/C/D/E",IF(K142="A",1,IF(K142="B",0.75,IF(K142="C",0.5,IF(K142="D",0.25,IF(K142="E",0,"Blm Diisi"))))),IF(J142="%",IF(K142="","Blm Diisi",K142),IF(J142="Jumlah",IF(K142="","Blm Diisi",""),IF(J142="Rupiah",IF(K142="","Blm Diisi",""),IF(J142="","","-"))))))))</f>
        <v>0</v>
      </c>
      <c r="M142" s="28"/>
      <c r="O142" s="30" t="s">
        <v>633</v>
      </c>
      <c r="P142" s="30" t="s">
        <v>634</v>
      </c>
      <c r="Q142" s="35" t="s">
        <v>635</v>
      </c>
      <c r="R142"/>
      <c r="S142" s="36"/>
      <c r="T142" s="28" t="s">
        <v>33</v>
      </c>
      <c r="U142" s="28" t="s">
        <v>34</v>
      </c>
      <c r="V142" s="28" t="str">
        <f>IF(T142="Ya/Tidak",IF(U142="Ya",1,IF(U142="Tidak",0,"Blm Diisi")),IF(T142="A/B/C",IF(U142="A",1,IF(U142="B",0.5,IF(U142="C",0,"Blm Diisi"))),IF(T142="A/B/C/D",IF(U142="A",1,IF(U142="B",0.67,IF(U142="C",0.33,IF(U142="D",0,"Blm Diisi")))),IF(T142="A/B/C/D/E",IF(U142="A",1,IF(U142="B",0.75,IF(U142="C",0.5,IF(U142="D",0.25,IF(U142="E",0,"Blm Diisi"))))),IF(T142="%",IF(U142="","Blm Diisi",U142),IF(T142="Jumlah",IF(U142="","Blm Diisi",""),IF(T142="Rupiah",IF(U142="","Blm Diisi",""),IF(T142="","","-"))))))))</f>
        <v>0</v>
      </c>
      <c r="W142" s="28"/>
      <c r="X142" s="36" t="s">
        <v>636</v>
      </c>
      <c r="Y142"/>
      <c r="Z142"/>
      <c r="AA142" s="36"/>
      <c r="AB142" s="28" t="s">
        <v>33</v>
      </c>
      <c r="AC142" s="28"/>
      <c r="AD142" s="28" t="str">
        <f>IF(AB142="Ya/Tidak",IF(AC142="Ya",1,IF(AC142="Tidak",0,"Blm Diisi")),IF(AB142="A/B/C",IF(AC142="A",1,IF(AC142="B",0.5,IF(AC142="C",0,"Blm Diisi"))),IF(AB142="A/B/C/D",IF(AC142="A",1,IF(AC142="B",0.67,IF(AC142="C",0.33,IF(AC142="D",0,"Blm Diisi")))),IF(AB142="A/B/C/D/E",IF(AC142="A",1,IF(AC142="B",0.75,IF(AC142="C",0.5,IF(AC142="D",0.25,IF(AC142="E",0,"Blm Diisi"))))),IF(AB142="%",IF(AC142="","Blm Diisi",AC142),IF(AB142="Jumlah",IF(AC142="","Blm Diisi",""),IF(AB142="Rupiah",IF(AC142="","Blm Diisi",""),IF(AB142="","","-"))))))))</f>
        <v>0</v>
      </c>
      <c r="AE142" s="28"/>
      <c r="AF142" s="36"/>
      <c r="AG142"/>
      <c r="AH142"/>
      <c r="AI142" s="36"/>
      <c r="AJ142" s="28" t="s">
        <v>33</v>
      </c>
      <c r="AK142" s="28"/>
      <c r="AL142" s="28" t="str">
        <f>IF(AJ142="Ya/Tidak",IF(AK142="Ya",1,IF(AK142="Tidak",0,"Blm Diisi")),IF(AJ142="A/B/C",IF(AK142="A",1,IF(AK142="B",0.5,IF(AK142="C",0,"Blm Diisi"))),IF(AJ142="A/B/C/D",IF(AK142="A",1,IF(AK142="B",0.67,IF(AK142="C",0.33,IF(AK142="D",0,"Blm Diisi")))),IF(AJ142="A/B/C/D/E",IF(AK142="A",1,IF(AK142="B",0.75,IF(AK142="C",0.5,IF(AK142="D",0.25,IF(AK142="E",0,"Blm Diisi"))))),IF(AJ142="%",IF(AK142="","Blm Diisi",AK142),IF(AJ142="Jumlah",IF(AK142="","Blm Diisi",""),IF(AJ142="Rupiah",IF(AK142="","Blm Diisi",""),IF(AJ142="","","-"))))))))</f>
        <v>0</v>
      </c>
      <c r="AM142" s="28"/>
      <c r="AN142" s="36"/>
    </row>
    <row r="143" spans="1:40">
      <c r="B143" s="22"/>
      <c r="C143" s="22"/>
      <c r="D143" s="22"/>
      <c r="E143" s="22" t="s">
        <v>59</v>
      </c>
      <c r="F143" s="22" t="s">
        <v>637</v>
      </c>
      <c r="G143" s="22"/>
      <c r="H143" s="27">
        <v>2</v>
      </c>
      <c r="I143" s="22"/>
      <c r="J143" s="27"/>
      <c r="K143" s="27"/>
      <c r="L143" s="27" t="str">
        <f>AVERAGE(L144:L146)*H143</f>
        <v>0</v>
      </c>
      <c r="M143" s="27" t="str">
        <f>L143/H143</f>
        <v>0</v>
      </c>
      <c r="N143" s="1"/>
      <c r="O143" s="22"/>
      <c r="P143" s="22"/>
      <c r="Q143" s="34"/>
      <c r="R143"/>
      <c r="S143" s="36">
        <v>2</v>
      </c>
      <c r="T143" s="28"/>
      <c r="U143" s="28"/>
      <c r="V143" s="28" t="str">
        <f>AVERAGE(V144:V146)*S143</f>
        <v>0</v>
      </c>
      <c r="W143" s="28" t="str">
        <f>V143/S143</f>
        <v>0</v>
      </c>
      <c r="X143" s="36"/>
      <c r="Y143"/>
      <c r="Z143"/>
      <c r="AA143" s="36">
        <v>2</v>
      </c>
      <c r="AB143" s="28"/>
      <c r="AC143" s="28"/>
      <c r="AD143" s="28" t="str">
        <f>AVERAGE(AD144:AD146)*AA143</f>
        <v>0</v>
      </c>
      <c r="AE143" s="28" t="str">
        <f>AD143/AA143</f>
        <v>0</v>
      </c>
      <c r="AF143" s="36"/>
      <c r="AG143"/>
      <c r="AH143"/>
      <c r="AI143" s="36">
        <v>2</v>
      </c>
      <c r="AJ143" s="28"/>
      <c r="AK143" s="28"/>
      <c r="AL143" s="28" t="str">
        <f>AVERAGE(AL144:AL146)*AI143</f>
        <v>0</v>
      </c>
      <c r="AM143" s="28" t="str">
        <f>AL143/AI143</f>
        <v>0</v>
      </c>
      <c r="AN143" s="36"/>
    </row>
    <row r="144" spans="1:40">
      <c r="A144" t="s">
        <v>20</v>
      </c>
      <c r="B144" s="23"/>
      <c r="C144" s="23"/>
      <c r="D144" s="23"/>
      <c r="E144" s="23"/>
      <c r="F144" s="23" t="s">
        <v>21</v>
      </c>
      <c r="G144" s="23" t="s">
        <v>638</v>
      </c>
      <c r="H144" s="28"/>
      <c r="I144" s="23" t="s">
        <v>639</v>
      </c>
      <c r="J144" s="28" t="s">
        <v>116</v>
      </c>
      <c r="K144" s="29" t="s">
        <v>34</v>
      </c>
      <c r="L144" s="28" t="str">
        <f>IF(J144="Ya/Tidak",IF(K144="Ya",1,IF(K144="Tidak",0,"Blm Diisi")),IF(J144="A/B/C",IF(K144="A",1,IF(K144="B",0.5,IF(K144="C",0,"Blm Diisi"))),IF(J144="A/B/C/D",IF(K144="A",1,IF(K144="B",0.67,IF(K144="C",0.33,IF(K144="D",0,"Blm Diisi")))),IF(J144="A/B/C/D/E",IF(K144="A",1,IF(K144="B",0.75,IF(K144="C",0.5,IF(K144="D",0.25,IF(K144="E",0,"Blm Diisi"))))),IF(J144="%",IF(K144="","Blm Diisi",K144),IF(J144="Jumlah",IF(K144="","Blm Diisi",""),IF(J144="Rupiah",IF(K144="","Blm Diisi",""),IF(J144="","","-"))))))))</f>
        <v>0</v>
      </c>
      <c r="M144" s="28"/>
      <c r="O144" s="30" t="s">
        <v>640</v>
      </c>
      <c r="P144" s="30" t="s">
        <v>641</v>
      </c>
      <c r="Q144" s="35" t="s">
        <v>642</v>
      </c>
      <c r="R144"/>
      <c r="S144" s="36"/>
      <c r="T144" s="28" t="s">
        <v>116</v>
      </c>
      <c r="U144" s="28" t="s">
        <v>34</v>
      </c>
      <c r="V144" s="28" t="str">
        <f>IF(T144="Ya/Tidak",IF(U144="Ya",1,IF(U144="Tidak",0,"Blm Diisi")),IF(T144="A/B/C",IF(U144="A",1,IF(U144="B",0.5,IF(U144="C",0,"Blm Diisi"))),IF(T144="A/B/C/D",IF(U144="A",1,IF(U144="B",0.67,IF(U144="C",0.33,IF(U144="D",0,"Blm Diisi")))),IF(T144="A/B/C/D/E",IF(U144="A",1,IF(U144="B",0.75,IF(U144="C",0.5,IF(U144="D",0.25,IF(U144="E",0,"Blm Diisi"))))),IF(T144="%",IF(U144="","Blm Diisi",U144),IF(T144="Jumlah",IF(U144="","Blm Diisi",""),IF(T144="Rupiah",IF(U144="","Blm Diisi",""),IF(T144="","","-"))))))))</f>
        <v>0</v>
      </c>
      <c r="W144" s="28"/>
      <c r="X144" s="36" t="s">
        <v>643</v>
      </c>
      <c r="Y144"/>
      <c r="Z144"/>
      <c r="AA144" s="36"/>
      <c r="AB144" s="28" t="s">
        <v>116</v>
      </c>
      <c r="AC144" s="28"/>
      <c r="AD144" s="28" t="str">
        <f>IF(AB144="Ya/Tidak",IF(AC144="Ya",1,IF(AC144="Tidak",0,"Blm Diisi")),IF(AB144="A/B/C",IF(AC144="A",1,IF(AC144="B",0.5,IF(AC144="C",0,"Blm Diisi"))),IF(AB144="A/B/C/D",IF(AC144="A",1,IF(AC144="B",0.67,IF(AC144="C",0.33,IF(AC144="D",0,"Blm Diisi")))),IF(AB144="A/B/C/D/E",IF(AC144="A",1,IF(AC144="B",0.75,IF(AC144="C",0.5,IF(AC144="D",0.25,IF(AC144="E",0,"Blm Diisi"))))),IF(AB144="%",IF(AC144="","Blm Diisi",AC144),IF(AB144="Jumlah",IF(AC144="","Blm Diisi",""),IF(AB144="Rupiah",IF(AC144="","Blm Diisi",""),IF(AB144="","","-"))))))))</f>
        <v>0</v>
      </c>
      <c r="AE144" s="28"/>
      <c r="AF144" s="36"/>
      <c r="AG144"/>
      <c r="AH144"/>
      <c r="AI144" s="36"/>
      <c r="AJ144" s="28" t="s">
        <v>116</v>
      </c>
      <c r="AK144" s="28"/>
      <c r="AL144" s="28" t="str">
        <f>IF(AJ144="Ya/Tidak",IF(AK144="Ya",1,IF(AK144="Tidak",0,"Blm Diisi")),IF(AJ144="A/B/C",IF(AK144="A",1,IF(AK144="B",0.5,IF(AK144="C",0,"Blm Diisi"))),IF(AJ144="A/B/C/D",IF(AK144="A",1,IF(AK144="B",0.67,IF(AK144="C",0.33,IF(AK144="D",0,"Blm Diisi")))),IF(AJ144="A/B/C/D/E",IF(AK144="A",1,IF(AK144="B",0.75,IF(AK144="C",0.5,IF(AK144="D",0.25,IF(AK144="E",0,"Blm Diisi"))))),IF(AJ144="%",IF(AK144="","Blm Diisi",AK144),IF(AJ144="Jumlah",IF(AK144="","Blm Diisi",""),IF(AJ144="Rupiah",IF(AK144="","Blm Diisi",""),IF(AJ144="","","-"))))))))</f>
        <v>0</v>
      </c>
      <c r="AM144" s="28"/>
      <c r="AN144" s="36"/>
    </row>
    <row r="145" spans="1:40">
      <c r="A145" t="s">
        <v>20</v>
      </c>
      <c r="B145" s="23"/>
      <c r="C145" s="23"/>
      <c r="D145" s="23"/>
      <c r="E145" s="23"/>
      <c r="F145" s="23" t="s">
        <v>30</v>
      </c>
      <c r="G145" s="23" t="s">
        <v>644</v>
      </c>
      <c r="H145" s="28"/>
      <c r="I145" s="23" t="s">
        <v>645</v>
      </c>
      <c r="J145" s="28" t="s">
        <v>116</v>
      </c>
      <c r="K145" s="29" t="s">
        <v>34</v>
      </c>
      <c r="L145" s="28" t="str">
        <f>IF(J145="Ya/Tidak",IF(K145="Ya",1,IF(K145="Tidak",0,"Blm Diisi")),IF(J145="A/B/C",IF(K145="A",1,IF(K145="B",0.5,IF(K145="C",0,"Blm Diisi"))),IF(J145="A/B/C/D",IF(K145="A",1,IF(K145="B",0.67,IF(K145="C",0.33,IF(K145="D",0,"Blm Diisi")))),IF(J145="A/B/C/D/E",IF(K145="A",1,IF(K145="B",0.75,IF(K145="C",0.5,IF(K145="D",0.25,IF(K145="E",0,"Blm Diisi"))))),IF(J145="%",IF(K145="","Blm Diisi",K145),IF(J145="Jumlah",IF(K145="","Blm Diisi",""),IF(J145="Rupiah",IF(K145="","Blm Diisi",""),IF(J145="","","-"))))))))</f>
        <v>0</v>
      </c>
      <c r="M145" s="28"/>
      <c r="O145" s="30" t="s">
        <v>646</v>
      </c>
      <c r="P145" s="30" t="s">
        <v>647</v>
      </c>
      <c r="Q145" s="35" t="s">
        <v>648</v>
      </c>
      <c r="R145"/>
      <c r="S145" s="36"/>
      <c r="T145" s="28" t="s">
        <v>116</v>
      </c>
      <c r="U145" s="28" t="s">
        <v>34</v>
      </c>
      <c r="V145" s="28" t="str">
        <f>IF(T145="Ya/Tidak",IF(U145="Ya",1,IF(U145="Tidak",0,"Blm Diisi")),IF(T145="A/B/C",IF(U145="A",1,IF(U145="B",0.5,IF(U145="C",0,"Blm Diisi"))),IF(T145="A/B/C/D",IF(U145="A",1,IF(U145="B",0.67,IF(U145="C",0.33,IF(U145="D",0,"Blm Diisi")))),IF(T145="A/B/C/D/E",IF(U145="A",1,IF(U145="B",0.75,IF(U145="C",0.5,IF(U145="D",0.25,IF(U145="E",0,"Blm Diisi"))))),IF(T145="%",IF(U145="","Blm Diisi",U145),IF(T145="Jumlah",IF(U145="","Blm Diisi",""),IF(T145="Rupiah",IF(U145="","Blm Diisi",""),IF(T145="","","-"))))))))</f>
        <v>0</v>
      </c>
      <c r="W145" s="28"/>
      <c r="X145" s="36" t="s">
        <v>649</v>
      </c>
      <c r="Y145"/>
      <c r="Z145"/>
      <c r="AA145" s="36"/>
      <c r="AB145" s="28" t="s">
        <v>116</v>
      </c>
      <c r="AC145" s="28"/>
      <c r="AD145" s="28" t="str">
        <f>IF(AB145="Ya/Tidak",IF(AC145="Ya",1,IF(AC145="Tidak",0,"Blm Diisi")),IF(AB145="A/B/C",IF(AC145="A",1,IF(AC145="B",0.5,IF(AC145="C",0,"Blm Diisi"))),IF(AB145="A/B/C/D",IF(AC145="A",1,IF(AC145="B",0.67,IF(AC145="C",0.33,IF(AC145="D",0,"Blm Diisi")))),IF(AB145="A/B/C/D/E",IF(AC145="A",1,IF(AC145="B",0.75,IF(AC145="C",0.5,IF(AC145="D",0.25,IF(AC145="E",0,"Blm Diisi"))))),IF(AB145="%",IF(AC145="","Blm Diisi",AC145),IF(AB145="Jumlah",IF(AC145="","Blm Diisi",""),IF(AB145="Rupiah",IF(AC145="","Blm Diisi",""),IF(AB145="","","-"))))))))</f>
        <v>0</v>
      </c>
      <c r="AE145" s="28"/>
      <c r="AF145" s="36"/>
      <c r="AG145"/>
      <c r="AH145"/>
      <c r="AI145" s="36"/>
      <c r="AJ145" s="28" t="s">
        <v>116</v>
      </c>
      <c r="AK145" s="28"/>
      <c r="AL145" s="28" t="str">
        <f>IF(AJ145="Ya/Tidak",IF(AK145="Ya",1,IF(AK145="Tidak",0,"Blm Diisi")),IF(AJ145="A/B/C",IF(AK145="A",1,IF(AK145="B",0.5,IF(AK145="C",0,"Blm Diisi"))),IF(AJ145="A/B/C/D",IF(AK145="A",1,IF(AK145="B",0.67,IF(AK145="C",0.33,IF(AK145="D",0,"Blm Diisi")))),IF(AJ145="A/B/C/D/E",IF(AK145="A",1,IF(AK145="B",0.75,IF(AK145="C",0.5,IF(AK145="D",0.25,IF(AK145="E",0,"Blm Diisi"))))),IF(AJ145="%",IF(AK145="","Blm Diisi",AK145),IF(AJ145="Jumlah",IF(AK145="","Blm Diisi",""),IF(AJ145="Rupiah",IF(AK145="","Blm Diisi",""),IF(AJ145="","","-"))))))))</f>
        <v>0</v>
      </c>
      <c r="AM145" s="28"/>
      <c r="AN145" s="36"/>
    </row>
    <row r="146" spans="1:40">
      <c r="A146" t="s">
        <v>20</v>
      </c>
      <c r="B146" s="23"/>
      <c r="C146" s="23"/>
      <c r="D146" s="23"/>
      <c r="E146" s="23"/>
      <c r="F146" s="23" t="s">
        <v>52</v>
      </c>
      <c r="G146" s="23" t="s">
        <v>650</v>
      </c>
      <c r="H146" s="28"/>
      <c r="I146" s="23" t="s">
        <v>651</v>
      </c>
      <c r="J146" s="28" t="s">
        <v>116</v>
      </c>
      <c r="K146" s="29" t="s">
        <v>34</v>
      </c>
      <c r="L146" s="28" t="str">
        <f>IF(J146="Ya/Tidak",IF(K146="Ya",1,IF(K146="Tidak",0,"Blm Diisi")),IF(J146="A/B/C",IF(K146="A",1,IF(K146="B",0.5,IF(K146="C",0,"Blm Diisi"))),IF(J146="A/B/C/D",IF(K146="A",1,IF(K146="B",0.67,IF(K146="C",0.33,IF(K146="D",0,"Blm Diisi")))),IF(J146="A/B/C/D/E",IF(K146="A",1,IF(K146="B",0.75,IF(K146="C",0.5,IF(K146="D",0.25,IF(K146="E",0,"Blm Diisi"))))),IF(J146="%",IF(K146="","Blm Diisi",K146),IF(J146="Jumlah",IF(K146="","Blm Diisi",""),IF(J146="Rupiah",IF(K146="","Blm Diisi",""),IF(J146="","","-"))))))))</f>
        <v>0</v>
      </c>
      <c r="M146" s="28"/>
      <c r="O146" s="30" t="s">
        <v>652</v>
      </c>
      <c r="P146" s="30" t="s">
        <v>653</v>
      </c>
      <c r="Q146" s="35" t="s">
        <v>654</v>
      </c>
      <c r="R146"/>
      <c r="S146" s="36"/>
      <c r="T146" s="28" t="s">
        <v>116</v>
      </c>
      <c r="U146" s="28" t="s">
        <v>34</v>
      </c>
      <c r="V146" s="28" t="str">
        <f>IF(T146="Ya/Tidak",IF(U146="Ya",1,IF(U146="Tidak",0,"Blm Diisi")),IF(T146="A/B/C",IF(U146="A",1,IF(U146="B",0.5,IF(U146="C",0,"Blm Diisi"))),IF(T146="A/B/C/D",IF(U146="A",1,IF(U146="B",0.67,IF(U146="C",0.33,IF(U146="D",0,"Blm Diisi")))),IF(T146="A/B/C/D/E",IF(U146="A",1,IF(U146="B",0.75,IF(U146="C",0.5,IF(U146="D",0.25,IF(U146="E",0,"Blm Diisi"))))),IF(T146="%",IF(U146="","Blm Diisi",U146),IF(T146="Jumlah",IF(U146="","Blm Diisi",""),IF(T146="Rupiah",IF(U146="","Blm Diisi",""),IF(T146="","","-"))))))))</f>
        <v>0</v>
      </c>
      <c r="W146" s="28"/>
      <c r="X146" s="36" t="s">
        <v>655</v>
      </c>
      <c r="Y146"/>
      <c r="Z146"/>
      <c r="AA146" s="36"/>
      <c r="AB146" s="28" t="s">
        <v>116</v>
      </c>
      <c r="AC146" s="28"/>
      <c r="AD146" s="28" t="str">
        <f>IF(AB146="Ya/Tidak",IF(AC146="Ya",1,IF(AC146="Tidak",0,"Blm Diisi")),IF(AB146="A/B/C",IF(AC146="A",1,IF(AC146="B",0.5,IF(AC146="C",0,"Blm Diisi"))),IF(AB146="A/B/C/D",IF(AC146="A",1,IF(AC146="B",0.67,IF(AC146="C",0.33,IF(AC146="D",0,"Blm Diisi")))),IF(AB146="A/B/C/D/E",IF(AC146="A",1,IF(AC146="B",0.75,IF(AC146="C",0.5,IF(AC146="D",0.25,IF(AC146="E",0,"Blm Diisi"))))),IF(AB146="%",IF(AC146="","Blm Diisi",AC146),IF(AB146="Jumlah",IF(AC146="","Blm Diisi",""),IF(AB146="Rupiah",IF(AC146="","Blm Diisi",""),IF(AB146="","","-"))))))))</f>
        <v>0</v>
      </c>
      <c r="AE146" s="28"/>
      <c r="AF146" s="36"/>
      <c r="AG146"/>
      <c r="AH146"/>
      <c r="AI146" s="36"/>
      <c r="AJ146" s="28" t="s">
        <v>116</v>
      </c>
      <c r="AK146" s="28"/>
      <c r="AL146" s="28" t="str">
        <f>IF(AJ146="Ya/Tidak",IF(AK146="Ya",1,IF(AK146="Tidak",0,"Blm Diisi")),IF(AJ146="A/B/C",IF(AK146="A",1,IF(AK146="B",0.5,IF(AK146="C",0,"Blm Diisi"))),IF(AJ146="A/B/C/D",IF(AK146="A",1,IF(AK146="B",0.67,IF(AK146="C",0.33,IF(AK146="D",0,"Blm Diisi")))),IF(AJ146="A/B/C/D/E",IF(AK146="A",1,IF(AK146="B",0.75,IF(AK146="C",0.5,IF(AK146="D",0.25,IF(AK146="E",0,"Blm Diisi"))))),IF(AJ146="%",IF(AK146="","Blm Diisi",AK146),IF(AJ146="Jumlah",IF(AK146="","Blm Diisi",""),IF(AJ146="Rupiah",IF(AK146="","Blm Diisi",""),IF(AJ146="","","-"))))))))</f>
        <v>0</v>
      </c>
      <c r="AM146" s="28"/>
      <c r="AN146" s="36"/>
    </row>
    <row r="147" spans="1:40">
      <c r="B147" s="21"/>
      <c r="C147" s="21"/>
      <c r="D147" s="21">
        <v>3.0</v>
      </c>
      <c r="E147" s="21" t="s">
        <v>166</v>
      </c>
      <c r="F147" s="21"/>
      <c r="G147" s="21"/>
      <c r="H147" s="26">
        <v>5</v>
      </c>
      <c r="I147" s="21"/>
      <c r="J147" s="26"/>
      <c r="K147" s="26"/>
      <c r="L147" s="26" t="str">
        <f>SUM(L148,L150,L152)</f>
        <v>0</v>
      </c>
      <c r="M147" s="26" t="str">
        <f>L147/H147</f>
        <v>0</v>
      </c>
      <c r="N147" s="1"/>
      <c r="O147" s="21"/>
      <c r="P147" s="21"/>
      <c r="Q147" s="33"/>
      <c r="R147"/>
      <c r="S147" s="36">
        <v>5</v>
      </c>
      <c r="T147" s="28"/>
      <c r="U147" s="28"/>
      <c r="V147" s="28" t="str">
        <f>SUM(V148,V150,V152)</f>
        <v>0</v>
      </c>
      <c r="W147" s="28" t="str">
        <f>V147/S147</f>
        <v>0</v>
      </c>
      <c r="X147" s="36"/>
      <c r="Y147"/>
      <c r="Z147"/>
      <c r="AA147" s="36">
        <v>5</v>
      </c>
      <c r="AB147" s="28"/>
      <c r="AC147" s="28"/>
      <c r="AD147" s="28" t="str">
        <f>SUM(AD148,AD150,AD152)</f>
        <v>0</v>
      </c>
      <c r="AE147" s="28" t="str">
        <f>AD147/AA147</f>
        <v>0</v>
      </c>
      <c r="AF147" s="36"/>
      <c r="AG147"/>
      <c r="AH147"/>
      <c r="AI147" s="36">
        <v>5</v>
      </c>
      <c r="AJ147" s="28"/>
      <c r="AK147" s="28"/>
      <c r="AL147" s="28" t="str">
        <f>SUM(AL148,AL150,AL152)</f>
        <v>0</v>
      </c>
      <c r="AM147" s="28" t="str">
        <f>AL147/AI147</f>
        <v>0</v>
      </c>
      <c r="AN147" s="36"/>
    </row>
    <row r="148" spans="1:40">
      <c r="B148" s="22"/>
      <c r="C148" s="22"/>
      <c r="D148" s="22"/>
      <c r="E148" s="22" t="s">
        <v>18</v>
      </c>
      <c r="F148" s="22" t="s">
        <v>656</v>
      </c>
      <c r="G148" s="22"/>
      <c r="H148" s="27">
        <v>1.5</v>
      </c>
      <c r="I148" s="22"/>
      <c r="J148" s="27"/>
      <c r="K148" s="27"/>
      <c r="L148" s="27" t="str">
        <f>AVERAGE(L149)*H148</f>
        <v>0</v>
      </c>
      <c r="M148" s="27" t="str">
        <f>L148/H148</f>
        <v>0</v>
      </c>
      <c r="N148" s="1"/>
      <c r="O148" s="22"/>
      <c r="P148" s="22"/>
      <c r="Q148" s="34"/>
      <c r="R148"/>
      <c r="S148" s="36">
        <v>1.5</v>
      </c>
      <c r="T148" s="28"/>
      <c r="U148" s="28"/>
      <c r="V148" s="28" t="str">
        <f>AVERAGE(V149)*S148</f>
        <v>0</v>
      </c>
      <c r="W148" s="28" t="str">
        <f>V148/S148</f>
        <v>0</v>
      </c>
      <c r="X148" s="36"/>
      <c r="Y148"/>
      <c r="Z148"/>
      <c r="AA148" s="36">
        <v>1.5</v>
      </c>
      <c r="AB148" s="28"/>
      <c r="AC148" s="28"/>
      <c r="AD148" s="28" t="str">
        <f>AVERAGE(AD149)*AA148</f>
        <v>0</v>
      </c>
      <c r="AE148" s="28" t="str">
        <f>AD148/AA148</f>
        <v>0</v>
      </c>
      <c r="AF148" s="36"/>
      <c r="AG148"/>
      <c r="AH148"/>
      <c r="AI148" s="36">
        <v>1.5</v>
      </c>
      <c r="AJ148" s="28"/>
      <c r="AK148" s="28"/>
      <c r="AL148" s="28" t="str">
        <f>AVERAGE(AL149)*AI148</f>
        <v>0</v>
      </c>
      <c r="AM148" s="28" t="str">
        <f>AL148/AI148</f>
        <v>0</v>
      </c>
      <c r="AN148" s="36"/>
    </row>
    <row r="149" spans="1:40">
      <c r="A149" t="s">
        <v>20</v>
      </c>
      <c r="B149" s="23"/>
      <c r="C149" s="23"/>
      <c r="D149" s="23"/>
      <c r="E149" s="23"/>
      <c r="F149" s="23" t="s">
        <v>623</v>
      </c>
      <c r="G149" s="23" t="s">
        <v>657</v>
      </c>
      <c r="H149" s="28"/>
      <c r="I149" s="23" t="s">
        <v>658</v>
      </c>
      <c r="J149" s="28" t="s">
        <v>33</v>
      </c>
      <c r="K149" s="29" t="s">
        <v>34</v>
      </c>
      <c r="L149" s="28" t="str">
        <f>IF(J149="Ya/Tidak",IF(K149="Ya",1,IF(K149="Tidak",0,"Blm Diisi")),IF(J149="A/B/C",IF(K149="A",1,IF(K149="B",0.5,IF(K149="C",0,"Blm Diisi"))),IF(J149="A/B/C/D",IF(K149="A",1,IF(K149="B",0.67,IF(K149="C",0.33,IF(K149="D",0,"Blm Diisi")))),IF(J149="A/B/C/D/E",IF(K149="A",1,IF(K149="B",0.75,IF(K149="C",0.5,IF(K149="D",0.25,IF(K149="E",0,"Blm Diisi"))))),IF(J149="%",IF(K149="","Blm Diisi",K149),IF(J149="Jumlah",IF(K149="","Blm Diisi",""),IF(J149="Rupiah",IF(K149="","Blm Diisi",""),IF(J149="","","-"))))))))</f>
        <v>0</v>
      </c>
      <c r="M149" s="28"/>
      <c r="O149" s="30" t="s">
        <v>659</v>
      </c>
      <c r="P149" s="30" t="s">
        <v>660</v>
      </c>
      <c r="Q149" s="35" t="s">
        <v>661</v>
      </c>
      <c r="R149"/>
      <c r="S149" s="36"/>
      <c r="T149" s="28" t="s">
        <v>33</v>
      </c>
      <c r="U149" s="28" t="s">
        <v>34</v>
      </c>
      <c r="V149" s="28" t="str">
        <f>IF(T149="Ya/Tidak",IF(U149="Ya",1,IF(U149="Tidak",0,"Blm Diisi")),IF(T149="A/B/C",IF(U149="A",1,IF(U149="B",0.5,IF(U149="C",0,"Blm Diisi"))),IF(T149="A/B/C/D",IF(U149="A",1,IF(U149="B",0.67,IF(U149="C",0.33,IF(U149="D",0,"Blm Diisi")))),IF(T149="A/B/C/D/E",IF(U149="A",1,IF(U149="B",0.75,IF(U149="C",0.5,IF(U149="D",0.25,IF(U149="E",0,"Blm Diisi"))))),IF(T149="%",IF(U149="","Blm Diisi",U149),IF(T149="Jumlah",IF(U149="","Blm Diisi",""),IF(T149="Rupiah",IF(U149="","Blm Diisi",""),IF(T149="","","-"))))))))</f>
        <v>0</v>
      </c>
      <c r="W149" s="28"/>
      <c r="X149" s="36" t="s">
        <v>662</v>
      </c>
      <c r="Y149"/>
      <c r="Z149"/>
      <c r="AA149" s="36"/>
      <c r="AB149" s="28" t="s">
        <v>33</v>
      </c>
      <c r="AC149" s="28"/>
      <c r="AD149" s="28" t="str">
        <f>IF(AB149="Ya/Tidak",IF(AC149="Ya",1,IF(AC149="Tidak",0,"Blm Diisi")),IF(AB149="A/B/C",IF(AC149="A",1,IF(AC149="B",0.5,IF(AC149="C",0,"Blm Diisi"))),IF(AB149="A/B/C/D",IF(AC149="A",1,IF(AC149="B",0.67,IF(AC149="C",0.33,IF(AC149="D",0,"Blm Diisi")))),IF(AB149="A/B/C/D/E",IF(AC149="A",1,IF(AC149="B",0.75,IF(AC149="C",0.5,IF(AC149="D",0.25,IF(AC149="E",0,"Blm Diisi"))))),IF(AB149="%",IF(AC149="","Blm Diisi",AC149),IF(AB149="Jumlah",IF(AC149="","Blm Diisi",""),IF(AB149="Rupiah",IF(AC149="","Blm Diisi",""),IF(AB149="","","-"))))))))</f>
        <v>0</v>
      </c>
      <c r="AE149" s="28"/>
      <c r="AF149" s="36"/>
      <c r="AG149"/>
      <c r="AH149"/>
      <c r="AI149" s="36"/>
      <c r="AJ149" s="28" t="s">
        <v>33</v>
      </c>
      <c r="AK149" s="28"/>
      <c r="AL149" s="28" t="str">
        <f>IF(AJ149="Ya/Tidak",IF(AK149="Ya",1,IF(AK149="Tidak",0,"Blm Diisi")),IF(AJ149="A/B/C",IF(AK149="A",1,IF(AK149="B",0.5,IF(AK149="C",0,"Blm Diisi"))),IF(AJ149="A/B/C/D",IF(AK149="A",1,IF(AK149="B",0.67,IF(AK149="C",0.33,IF(AK149="D",0,"Blm Diisi")))),IF(AJ149="A/B/C/D/E",IF(AK149="A",1,IF(AK149="B",0.75,IF(AK149="C",0.5,IF(AK149="D",0.25,IF(AK149="E",0,"Blm Diisi"))))),IF(AJ149="%",IF(AK149="","Blm Diisi",AK149),IF(AJ149="Jumlah",IF(AK149="","Blm Diisi",""),IF(AJ149="Rupiah",IF(AK149="","Blm Diisi",""),IF(AJ149="","","-"))))))))</f>
        <v>0</v>
      </c>
      <c r="AM149" s="28"/>
      <c r="AN149" s="36"/>
    </row>
    <row r="150" spans="1:40">
      <c r="B150" s="22"/>
      <c r="C150" s="22"/>
      <c r="D150" s="22"/>
      <c r="E150" s="22" t="s">
        <v>40</v>
      </c>
      <c r="F150" s="22" t="s">
        <v>663</v>
      </c>
      <c r="G150" s="22"/>
      <c r="H150" s="27">
        <v>1.5</v>
      </c>
      <c r="I150" s="22"/>
      <c r="J150" s="27"/>
      <c r="K150" s="27"/>
      <c r="L150" s="27" t="str">
        <f>AVERAGE(L151)*H150</f>
        <v>0</v>
      </c>
      <c r="M150" s="27" t="str">
        <f>L150/H150</f>
        <v>0</v>
      </c>
      <c r="N150" s="1"/>
      <c r="O150" s="22"/>
      <c r="P150" s="22"/>
      <c r="Q150" s="34"/>
      <c r="R150"/>
      <c r="S150" s="36">
        <v>1.5</v>
      </c>
      <c r="T150" s="28"/>
      <c r="U150" s="28"/>
      <c r="V150" s="28" t="str">
        <f>AVERAGE(V151)*S150</f>
        <v>0</v>
      </c>
      <c r="W150" s="28" t="str">
        <f>V150/S150</f>
        <v>0</v>
      </c>
      <c r="X150" s="36"/>
      <c r="Y150"/>
      <c r="Z150"/>
      <c r="AA150" s="36">
        <v>1.5</v>
      </c>
      <c r="AB150" s="28"/>
      <c r="AC150" s="28"/>
      <c r="AD150" s="28" t="str">
        <f>AVERAGE(AD151)*AA150</f>
        <v>0</v>
      </c>
      <c r="AE150" s="28" t="str">
        <f>AD150/AA150</f>
        <v>0</v>
      </c>
      <c r="AF150" s="36"/>
      <c r="AG150"/>
      <c r="AH150"/>
      <c r="AI150" s="36">
        <v>1.5</v>
      </c>
      <c r="AJ150" s="28"/>
      <c r="AK150" s="28"/>
      <c r="AL150" s="28" t="str">
        <f>AVERAGE(AL151)*AI150</f>
        <v>0</v>
      </c>
      <c r="AM150" s="28" t="str">
        <f>AL150/AI150</f>
        <v>0</v>
      </c>
      <c r="AN150" s="36"/>
    </row>
    <row r="151" spans="1:40">
      <c r="A151" t="s">
        <v>20</v>
      </c>
      <c r="B151" s="23"/>
      <c r="C151" s="23"/>
      <c r="D151" s="23"/>
      <c r="E151" s="23"/>
      <c r="F151" s="23" t="s">
        <v>623</v>
      </c>
      <c r="G151" s="23" t="s">
        <v>664</v>
      </c>
      <c r="H151" s="28"/>
      <c r="I151" s="23" t="s">
        <v>665</v>
      </c>
      <c r="J151" s="28" t="s">
        <v>33</v>
      </c>
      <c r="K151" s="29" t="s">
        <v>34</v>
      </c>
      <c r="L151" s="28" t="str">
        <f>IF(J151="Ya/Tidak",IF(K151="Ya",1,IF(K151="Tidak",0,"Blm Diisi")),IF(J151="A/B/C",IF(K151="A",1,IF(K151="B",0.5,IF(K151="C",0,"Blm Diisi"))),IF(J151="A/B/C/D",IF(K151="A",1,IF(K151="B",0.67,IF(K151="C",0.33,IF(K151="D",0,"Blm Diisi")))),IF(J151="A/B/C/D/E",IF(K151="A",1,IF(K151="B",0.75,IF(K151="C",0.5,IF(K151="D",0.25,IF(K151="E",0,"Blm Diisi"))))),IF(J151="%",IF(K151="","Blm Diisi",K151),IF(J151="Jumlah",IF(K151="","Blm Diisi",""),IF(J151="Rupiah",IF(K151="","Blm Diisi",""),IF(J151="","","-"))))))))</f>
        <v>0</v>
      </c>
      <c r="M151" s="28"/>
      <c r="O151" s="30" t="s">
        <v>666</v>
      </c>
      <c r="P151" s="30" t="s">
        <v>667</v>
      </c>
      <c r="Q151" s="35" t="s">
        <v>668</v>
      </c>
      <c r="R151"/>
      <c r="S151" s="36"/>
      <c r="T151" s="28" t="s">
        <v>33</v>
      </c>
      <c r="U151" s="28" t="s">
        <v>34</v>
      </c>
      <c r="V151" s="28" t="str">
        <f>IF(T151="Ya/Tidak",IF(U151="Ya",1,IF(U151="Tidak",0,"Blm Diisi")),IF(T151="A/B/C",IF(U151="A",1,IF(U151="B",0.5,IF(U151="C",0,"Blm Diisi"))),IF(T151="A/B/C/D",IF(U151="A",1,IF(U151="B",0.67,IF(U151="C",0.33,IF(U151="D",0,"Blm Diisi")))),IF(T151="A/B/C/D/E",IF(U151="A",1,IF(U151="B",0.75,IF(U151="C",0.5,IF(U151="D",0.25,IF(U151="E",0,"Blm Diisi"))))),IF(T151="%",IF(U151="","Blm Diisi",U151),IF(T151="Jumlah",IF(U151="","Blm Diisi",""),IF(T151="Rupiah",IF(U151="","Blm Diisi",""),IF(T151="","","-"))))))))</f>
        <v>0</v>
      </c>
      <c r="W151" s="28"/>
      <c r="X151" s="36" t="s">
        <v>669</v>
      </c>
      <c r="Y151"/>
      <c r="Z151"/>
      <c r="AA151" s="36"/>
      <c r="AB151" s="28" t="s">
        <v>33</v>
      </c>
      <c r="AC151" s="28"/>
      <c r="AD151" s="28" t="str">
        <f>IF(AB151="Ya/Tidak",IF(AC151="Ya",1,IF(AC151="Tidak",0,"Blm Diisi")),IF(AB151="A/B/C",IF(AC151="A",1,IF(AC151="B",0.5,IF(AC151="C",0,"Blm Diisi"))),IF(AB151="A/B/C/D",IF(AC151="A",1,IF(AC151="B",0.67,IF(AC151="C",0.33,IF(AC151="D",0,"Blm Diisi")))),IF(AB151="A/B/C/D/E",IF(AC151="A",1,IF(AC151="B",0.75,IF(AC151="C",0.5,IF(AC151="D",0.25,IF(AC151="E",0,"Blm Diisi"))))),IF(AB151="%",IF(AC151="","Blm Diisi",AC151),IF(AB151="Jumlah",IF(AC151="","Blm Diisi",""),IF(AB151="Rupiah",IF(AC151="","Blm Diisi",""),IF(AB151="","","-"))))))))</f>
        <v>0</v>
      </c>
      <c r="AE151" s="28"/>
      <c r="AF151" s="36"/>
      <c r="AG151"/>
      <c r="AH151"/>
      <c r="AI151" s="36"/>
      <c r="AJ151" s="28" t="s">
        <v>33</v>
      </c>
      <c r="AK151" s="28"/>
      <c r="AL151" s="28" t="str">
        <f>IF(AJ151="Ya/Tidak",IF(AK151="Ya",1,IF(AK151="Tidak",0,"Blm Diisi")),IF(AJ151="A/B/C",IF(AK151="A",1,IF(AK151="B",0.5,IF(AK151="C",0,"Blm Diisi"))),IF(AJ151="A/B/C/D",IF(AK151="A",1,IF(AK151="B",0.67,IF(AK151="C",0.33,IF(AK151="D",0,"Blm Diisi")))),IF(AJ151="A/B/C/D/E",IF(AK151="A",1,IF(AK151="B",0.75,IF(AK151="C",0.5,IF(AK151="D",0.25,IF(AK151="E",0,"Blm Diisi"))))),IF(AJ151="%",IF(AK151="","Blm Diisi",AK151),IF(AJ151="Jumlah",IF(AK151="","Blm Diisi",""),IF(AJ151="Rupiah",IF(AK151="","Blm Diisi",""),IF(AJ151="","","-"))))))))</f>
        <v>0</v>
      </c>
      <c r="AM151" s="28"/>
      <c r="AN151" s="36"/>
    </row>
    <row r="152" spans="1:40">
      <c r="B152" s="22"/>
      <c r="C152" s="22"/>
      <c r="D152" s="22"/>
      <c r="E152" s="22" t="s">
        <v>59</v>
      </c>
      <c r="F152" s="22" t="s">
        <v>670</v>
      </c>
      <c r="G152" s="22"/>
      <c r="H152" s="27">
        <v>2</v>
      </c>
      <c r="I152" s="22"/>
      <c r="J152" s="27"/>
      <c r="K152" s="27"/>
      <c r="L152" s="27" t="str">
        <f>AVERAGE(L153:L156)*H152</f>
        <v>0</v>
      </c>
      <c r="M152" s="27" t="str">
        <f>L152/H152</f>
        <v>0</v>
      </c>
      <c r="N152" s="1"/>
      <c r="O152" s="22"/>
      <c r="P152" s="22"/>
      <c r="Q152" s="34"/>
      <c r="R152"/>
      <c r="S152" s="36">
        <v>2</v>
      </c>
      <c r="T152" s="28"/>
      <c r="U152" s="28"/>
      <c r="V152" s="28" t="str">
        <f>AVERAGE(V153:V156)*S152</f>
        <v>0</v>
      </c>
      <c r="W152" s="28" t="str">
        <f>V152/S152</f>
        <v>0</v>
      </c>
      <c r="X152" s="36"/>
      <c r="Y152"/>
      <c r="Z152"/>
      <c r="AA152" s="36">
        <v>2</v>
      </c>
      <c r="AB152" s="28"/>
      <c r="AC152" s="28"/>
      <c r="AD152" s="28" t="str">
        <f>AVERAGE(AD153:AD156)*AA152</f>
        <v>0</v>
      </c>
      <c r="AE152" s="28" t="str">
        <f>AD152/AA152</f>
        <v>0</v>
      </c>
      <c r="AF152" s="36"/>
      <c r="AG152"/>
      <c r="AH152"/>
      <c r="AI152" s="36">
        <v>2</v>
      </c>
      <c r="AJ152" s="28"/>
      <c r="AK152" s="28"/>
      <c r="AL152" s="28" t="str">
        <f>AVERAGE(AL153:AL156)*AI152</f>
        <v>0</v>
      </c>
      <c r="AM152" s="28" t="str">
        <f>AL152/AI152</f>
        <v>0</v>
      </c>
      <c r="AN152" s="36"/>
    </row>
    <row r="153" spans="1:40">
      <c r="A153" t="s">
        <v>582</v>
      </c>
      <c r="B153" s="23"/>
      <c r="C153" s="23"/>
      <c r="D153" s="23"/>
      <c r="E153" s="23"/>
      <c r="F153" s="23" t="s">
        <v>623</v>
      </c>
      <c r="G153" s="23" t="s">
        <v>671</v>
      </c>
      <c r="H153" s="28"/>
      <c r="I153" s="23" t="s">
        <v>672</v>
      </c>
      <c r="J153" s="28" t="s">
        <v>585</v>
      </c>
      <c r="K153" s="29" t="str">
        <f>IF(OR(K154="",K155="",K156=""),"Blm Diisi",IF(AND(K154=0,K155=0),1,IF((K154-K155)/K154&lt;0,0,(K154-K155)/K154)))</f>
        <v>0</v>
      </c>
      <c r="L153" s="28" t="str">
        <f>IF(J153="Ya/Tidak",IF(K153="Ya",1,IF(K153="Tidak",0,"Blm Diisi")),IF(J153="A/B/C",IF(K153="A",1,IF(K153="B",0.5,IF(K153="C",0,"Blm Diisi"))),IF(J153="A/B/C/D",IF(K153="A",1,IF(K153="B",0.67,IF(K153="C",0.33,IF(K153="D",0,"Blm Diisi")))),IF(J153="A/B/C/D/E",IF(K153="A",1,IF(K153="B",0.75,IF(K153="C",0.5,IF(K153="D",0.25,IF(K153="E",0,"Blm Diisi"))))),IF(J153="%",IF(K153="","Blm Diisi",K153),IF(J153="Jumlah",IF(K153="","Blm Diisi",""),IF(J153="Rupiah",IF(K153="","Blm Diisi",""),IF(J153="","","-"))))))))</f>
        <v>0</v>
      </c>
      <c r="M153" s="28"/>
      <c r="O153" s="30" t="s">
        <v>673</v>
      </c>
      <c r="P153" s="30" t="s">
        <v>674</v>
      </c>
      <c r="Q153" s="35" t="s">
        <v>675</v>
      </c>
      <c r="R153"/>
      <c r="S153" s="36"/>
      <c r="T153" s="28" t="s">
        <v>585</v>
      </c>
      <c r="U153" s="28" t="str">
        <f>IF(OR(U154="",U155="",U156=""),"Blm Diisi",IF(AND(U154=0,U155=0),1,IF((U154-U155)/U154&lt;0,0,(U154-U155)/U154)))</f>
        <v>0</v>
      </c>
      <c r="V153" s="28" t="str">
        <f>IF(T153="Ya/Tidak",IF(U153="Ya",1,IF(U153="Tidak",0,"Blm Diisi")),IF(T153="A/B/C",IF(U153="A",1,IF(U153="B",0.5,IF(U153="C",0,"Blm Diisi"))),IF(T153="A/B/C/D",IF(U153="A",1,IF(U153="B",0.67,IF(U153="C",0.33,IF(U153="D",0,"Blm Diisi")))),IF(T153="A/B/C/D/E",IF(U153="A",1,IF(U153="B",0.75,IF(U153="C",0.5,IF(U153="D",0.25,IF(U153="E",0,"Blm Diisi"))))),IF(T153="%",IF(U153="","Blm Diisi",U153),IF(T153="Jumlah",IF(U153="","Blm Diisi",""),IF(T153="Rupiah",IF(U153="","Blm Diisi",""),IF(T153="","","-"))))))))</f>
        <v>0</v>
      </c>
      <c r="W153" s="28"/>
      <c r="X153" s="36" t="s">
        <v>676</v>
      </c>
      <c r="Y153"/>
      <c r="Z153"/>
      <c r="AA153" s="36"/>
      <c r="AB153" s="28" t="s">
        <v>585</v>
      </c>
      <c r="AC153" s="28" t="str">
        <f>IF(OR(AC154="",AC155="",AC156=""),"Blm Diisi",IF(AND(AC154=0,AC155=0),1,IF((AC154-AC155)/AC154&lt;0,0,(AC154-AC155)/AC154)))</f>
        <v>0</v>
      </c>
      <c r="AD153" s="28" t="str">
        <f>IF(AB153="Ya/Tidak",IF(AC153="Ya",1,IF(AC153="Tidak",0,"Blm Diisi")),IF(AB153="A/B/C",IF(AC153="A",1,IF(AC153="B",0.5,IF(AC153="C",0,"Blm Diisi"))),IF(AB153="A/B/C/D",IF(AC153="A",1,IF(AC153="B",0.67,IF(AC153="C",0.33,IF(AC153="D",0,"Blm Diisi")))),IF(AB153="A/B/C/D/E",IF(AC153="A",1,IF(AC153="B",0.75,IF(AC153="C",0.5,IF(AC153="D",0.25,IF(AC153="E",0,"Blm Diisi"))))),IF(AB153="%",IF(AC153="","Blm Diisi",AC153),IF(AB153="Jumlah",IF(AC153="","Blm Diisi",""),IF(AB153="Rupiah",IF(AC153="","Blm Diisi",""),IF(AB153="","","-"))))))))</f>
        <v>0</v>
      </c>
      <c r="AE153" s="28"/>
      <c r="AF153" s="36"/>
      <c r="AG153"/>
      <c r="AH153"/>
      <c r="AI153" s="36"/>
      <c r="AJ153" s="28" t="s">
        <v>585</v>
      </c>
      <c r="AK153" s="28" t="str">
        <f>IF(OR(AK154="",AK155="",AK156=""),"Blm Diisi",IF(AND(AK154=0,AK155=0),1,IF((AK154-AK155)/AK154&lt;0,0,(AK154-AK155)/AK154)))</f>
        <v>0</v>
      </c>
      <c r="AL153" s="28" t="str">
        <f>IF(AJ153="Ya/Tidak",IF(AK153="Ya",1,IF(AK153="Tidak",0,"Blm Diisi")),IF(AJ153="A/B/C",IF(AK153="A",1,IF(AK153="B",0.5,IF(AK153="C",0,"Blm Diisi"))),IF(AJ153="A/B/C/D",IF(AK153="A",1,IF(AK153="B",0.67,IF(AK153="C",0.33,IF(AK153="D",0,"Blm Diisi")))),IF(AJ153="A/B/C/D/E",IF(AK153="A",1,IF(AK153="B",0.75,IF(AK153="C",0.5,IF(AK153="D",0.25,IF(AK153="E",0,"Blm Diisi"))))),IF(AJ153="%",IF(AK153="","Blm Diisi",AK153),IF(AJ153="Jumlah",IF(AK153="","Blm Diisi",""),IF(AJ153="Rupiah",IF(AK153="","Blm Diisi",""),IF(AJ153="","","-"))))))))</f>
        <v>0</v>
      </c>
      <c r="AM153" s="28"/>
      <c r="AN153" s="36"/>
    </row>
    <row r="154" spans="1:40">
      <c r="A154" t="s">
        <v>590</v>
      </c>
      <c r="B154" s="23"/>
      <c r="C154" s="23"/>
      <c r="D154" s="23"/>
      <c r="E154" s="23"/>
      <c r="F154" s="23"/>
      <c r="G154" s="23" t="s">
        <v>677</v>
      </c>
      <c r="H154" s="28"/>
      <c r="I154" s="23"/>
      <c r="J154" s="28" t="s">
        <v>592</v>
      </c>
      <c r="K154" s="29">
        <v>1</v>
      </c>
      <c r="L154" s="28" t="str">
        <f>IF(J154="Ya/Tidak",IF(K154="Ya",1,IF(K154="Tidak",0,"Blm Diisi")),IF(J154="A/B/C",IF(K154="A",1,IF(K154="B",0.5,IF(K154="C",0,"Blm Diisi"))),IF(J154="A/B/C/D",IF(K154="A",1,IF(K154="B",0.67,IF(K154="C",0.33,IF(K154="D",0,"Blm Diisi")))),IF(J154="A/B/C/D/E",IF(K154="A",1,IF(K154="B",0.75,IF(K154="C",0.5,IF(K154="D",0.25,IF(K154="E",0,"Blm Diisi"))))),IF(J154="%",IF(K154="","Blm Diisi",K154),IF(J154="Jumlah",IF(K154="","Blm Diisi",""),IF(J154="Rupiah",IF(K154="","Blm Diisi",""),IF(J154="","","-"))))))))</f>
        <v>0</v>
      </c>
      <c r="M154" s="28"/>
      <c r="O154" s="30"/>
      <c r="P154" s="30"/>
      <c r="Q154" s="35"/>
      <c r="R154"/>
      <c r="S154" s="36"/>
      <c r="T154" s="28" t="s">
        <v>592</v>
      </c>
      <c r="U154" s="28">
        <v>1</v>
      </c>
      <c r="V154" s="28" t="str">
        <f>IF(T154="Ya/Tidak",IF(U154="Ya",1,IF(U154="Tidak",0,"Blm Diisi")),IF(T154="A/B/C",IF(U154="A",1,IF(U154="B",0.5,IF(U154="C",0,"Blm Diisi"))),IF(T154="A/B/C/D",IF(U154="A",1,IF(U154="B",0.67,IF(U154="C",0.33,IF(U154="D",0,"Blm Diisi")))),IF(T154="A/B/C/D/E",IF(U154="A",1,IF(U154="B",0.75,IF(U154="C",0.5,IF(U154="D",0.25,IF(U154="E",0,"Blm Diisi"))))),IF(T154="%",IF(U154="","Blm Diisi",U154),IF(T154="Jumlah",IF(U154="","Blm Diisi",""),IF(T154="Rupiah",IF(U154="","Blm Diisi",""),IF(T154="","","-"))))))))</f>
        <v>0</v>
      </c>
      <c r="W154" s="28"/>
      <c r="X154" s="36"/>
      <c r="Y154"/>
      <c r="Z154"/>
      <c r="AA154" s="36"/>
      <c r="AB154" s="28" t="s">
        <v>592</v>
      </c>
      <c r="AC154" s="28"/>
      <c r="AD154" s="28" t="str">
        <f>IF(AB154="Ya/Tidak",IF(AC154="Ya",1,IF(AC154="Tidak",0,"Blm Diisi")),IF(AB154="A/B/C",IF(AC154="A",1,IF(AC154="B",0.5,IF(AC154="C",0,"Blm Diisi"))),IF(AB154="A/B/C/D",IF(AC154="A",1,IF(AC154="B",0.67,IF(AC154="C",0.33,IF(AC154="D",0,"Blm Diisi")))),IF(AB154="A/B/C/D/E",IF(AC154="A",1,IF(AC154="B",0.75,IF(AC154="C",0.5,IF(AC154="D",0.25,IF(AC154="E",0,"Blm Diisi"))))),IF(AB154="%",IF(AC154="","Blm Diisi",AC154),IF(AB154="Jumlah",IF(AC154="","Blm Diisi",""),IF(AB154="Rupiah",IF(AC154="","Blm Diisi",""),IF(AB154="","","-"))))))))</f>
        <v>0</v>
      </c>
      <c r="AE154" s="28"/>
      <c r="AF154" s="36"/>
      <c r="AG154"/>
      <c r="AH154"/>
      <c r="AI154" s="36"/>
      <c r="AJ154" s="28" t="s">
        <v>592</v>
      </c>
      <c r="AK154" s="28"/>
      <c r="AL154" s="28" t="str">
        <f>IF(AJ154="Ya/Tidak",IF(AK154="Ya",1,IF(AK154="Tidak",0,"Blm Diisi")),IF(AJ154="A/B/C",IF(AK154="A",1,IF(AK154="B",0.5,IF(AK154="C",0,"Blm Diisi"))),IF(AJ154="A/B/C/D",IF(AK154="A",1,IF(AK154="B",0.67,IF(AK154="C",0.33,IF(AK154="D",0,"Blm Diisi")))),IF(AJ154="A/B/C/D/E",IF(AK154="A",1,IF(AK154="B",0.75,IF(AK154="C",0.5,IF(AK154="D",0.25,IF(AK154="E",0,"Blm Diisi"))))),IF(AJ154="%",IF(AK154="","Blm Diisi",AK154),IF(AJ154="Jumlah",IF(AK154="","Blm Diisi",""),IF(AJ154="Rupiah",IF(AK154="","Blm Diisi",""),IF(AJ154="","","-"))))))))</f>
        <v>0</v>
      </c>
      <c r="AM154" s="28"/>
      <c r="AN154" s="36"/>
    </row>
    <row r="155" spans="1:40">
      <c r="A155" t="s">
        <v>590</v>
      </c>
      <c r="B155" s="23"/>
      <c r="C155" s="23"/>
      <c r="D155" s="23"/>
      <c r="E155" s="23"/>
      <c r="F155" s="23"/>
      <c r="G155" s="23" t="s">
        <v>678</v>
      </c>
      <c r="H155" s="28"/>
      <c r="I155" s="23"/>
      <c r="J155" s="28" t="s">
        <v>592</v>
      </c>
      <c r="K155" s="29">
        <v>0</v>
      </c>
      <c r="L155" s="28" t="str">
        <f>IF(J155="Ya/Tidak",IF(K155="Ya",1,IF(K155="Tidak",0,"Blm Diisi")),IF(J155="A/B/C",IF(K155="A",1,IF(K155="B",0.5,IF(K155="C",0,"Blm Diisi"))),IF(J155="A/B/C/D",IF(K155="A",1,IF(K155="B",0.67,IF(K155="C",0.33,IF(K155="D",0,"Blm Diisi")))),IF(J155="A/B/C/D/E",IF(K155="A",1,IF(K155="B",0.75,IF(K155="C",0.5,IF(K155="D",0.25,IF(K155="E",0,"Blm Diisi"))))),IF(J155="%",IF(K155="","Blm Diisi",K155),IF(J155="Jumlah",IF(K155="","Blm Diisi",""),IF(J155="Rupiah",IF(K155="","Blm Diisi",""),IF(J155="","","-"))))))))</f>
        <v>0</v>
      </c>
      <c r="M155" s="28"/>
      <c r="O155" s="30"/>
      <c r="P155" s="30"/>
      <c r="Q155" s="35"/>
      <c r="R155"/>
      <c r="S155" s="36"/>
      <c r="T155" s="28" t="s">
        <v>592</v>
      </c>
      <c r="U155" s="28">
        <v>0</v>
      </c>
      <c r="V155" s="28" t="str">
        <f>IF(T155="Ya/Tidak",IF(U155="Ya",1,IF(U155="Tidak",0,"Blm Diisi")),IF(T155="A/B/C",IF(U155="A",1,IF(U155="B",0.5,IF(U155="C",0,"Blm Diisi"))),IF(T155="A/B/C/D",IF(U155="A",1,IF(U155="B",0.67,IF(U155="C",0.33,IF(U155="D",0,"Blm Diisi")))),IF(T155="A/B/C/D/E",IF(U155="A",1,IF(U155="B",0.75,IF(U155="C",0.5,IF(U155="D",0.25,IF(U155="E",0,"Blm Diisi"))))),IF(T155="%",IF(U155="","Blm Diisi",U155),IF(T155="Jumlah",IF(U155="","Blm Diisi",""),IF(T155="Rupiah",IF(U155="","Blm Diisi",""),IF(T155="","","-"))))))))</f>
        <v>0</v>
      </c>
      <c r="W155" s="28"/>
      <c r="X155" s="36"/>
      <c r="Y155"/>
      <c r="Z155"/>
      <c r="AA155" s="36"/>
      <c r="AB155" s="28" t="s">
        <v>592</v>
      </c>
      <c r="AC155" s="28"/>
      <c r="AD155" s="28" t="str">
        <f>IF(AB155="Ya/Tidak",IF(AC155="Ya",1,IF(AC155="Tidak",0,"Blm Diisi")),IF(AB155="A/B/C",IF(AC155="A",1,IF(AC155="B",0.5,IF(AC155="C",0,"Blm Diisi"))),IF(AB155="A/B/C/D",IF(AC155="A",1,IF(AC155="B",0.67,IF(AC155="C",0.33,IF(AC155="D",0,"Blm Diisi")))),IF(AB155="A/B/C/D/E",IF(AC155="A",1,IF(AC155="B",0.75,IF(AC155="C",0.5,IF(AC155="D",0.25,IF(AC155="E",0,"Blm Diisi"))))),IF(AB155="%",IF(AC155="","Blm Diisi",AC155),IF(AB155="Jumlah",IF(AC155="","Blm Diisi",""),IF(AB155="Rupiah",IF(AC155="","Blm Diisi",""),IF(AB155="","","-"))))))))</f>
        <v>0</v>
      </c>
      <c r="AE155" s="28"/>
      <c r="AF155" s="36"/>
      <c r="AG155"/>
      <c r="AH155"/>
      <c r="AI155" s="36"/>
      <c r="AJ155" s="28" t="s">
        <v>592</v>
      </c>
      <c r="AK155" s="28"/>
      <c r="AL155" s="28" t="str">
        <f>IF(AJ155="Ya/Tidak",IF(AK155="Ya",1,IF(AK155="Tidak",0,"Blm Diisi")),IF(AJ155="A/B/C",IF(AK155="A",1,IF(AK155="B",0.5,IF(AK155="C",0,"Blm Diisi"))),IF(AJ155="A/B/C/D",IF(AK155="A",1,IF(AK155="B",0.67,IF(AK155="C",0.33,IF(AK155="D",0,"Blm Diisi")))),IF(AJ155="A/B/C/D/E",IF(AK155="A",1,IF(AK155="B",0.75,IF(AK155="C",0.5,IF(AK155="D",0.25,IF(AK155="E",0,"Blm Diisi"))))),IF(AJ155="%",IF(AK155="","Blm Diisi",AK155),IF(AJ155="Jumlah",IF(AK155="","Blm Diisi",""),IF(AJ155="Rupiah",IF(AK155="","Blm Diisi",""),IF(AJ155="","","-"))))))))</f>
        <v>0</v>
      </c>
      <c r="AM155" s="28"/>
      <c r="AN155" s="36"/>
    </row>
    <row r="156" spans="1:40">
      <c r="A156" t="s">
        <v>590</v>
      </c>
      <c r="B156" s="23"/>
      <c r="C156" s="23"/>
      <c r="D156" s="23"/>
      <c r="E156" s="23"/>
      <c r="F156" s="23"/>
      <c r="G156" s="23" t="s">
        <v>679</v>
      </c>
      <c r="H156" s="28"/>
      <c r="I156" s="23"/>
      <c r="J156" s="28" t="s">
        <v>592</v>
      </c>
      <c r="K156" s="29">
        <v>1</v>
      </c>
      <c r="L156" s="28" t="str">
        <f>IF(J156="Ya/Tidak",IF(K156="Ya",1,IF(K156="Tidak",0,"Blm Diisi")),IF(J156="A/B/C",IF(K156="A",1,IF(K156="B",0.5,IF(K156="C",0,"Blm Diisi"))),IF(J156="A/B/C/D",IF(K156="A",1,IF(K156="B",0.67,IF(K156="C",0.33,IF(K156="D",0,"Blm Diisi")))),IF(J156="A/B/C/D/E",IF(K156="A",1,IF(K156="B",0.75,IF(K156="C",0.5,IF(K156="D",0.25,IF(K156="E",0,"Blm Diisi"))))),IF(J156="%",IF(K156="","Blm Diisi",K156),IF(J156="Jumlah",IF(K156="","Blm Diisi",""),IF(J156="Rupiah",IF(K156="","Blm Diisi",""),IF(J156="","","-"))))))))</f>
        <v>0</v>
      </c>
      <c r="M156" s="28"/>
      <c r="O156" s="30"/>
      <c r="P156" s="30"/>
      <c r="Q156" s="35"/>
      <c r="R156"/>
      <c r="S156" s="36"/>
      <c r="T156" s="28" t="s">
        <v>592</v>
      </c>
      <c r="U156" s="28">
        <v>1</v>
      </c>
      <c r="V156" s="28" t="str">
        <f>IF(T156="Ya/Tidak",IF(U156="Ya",1,IF(U156="Tidak",0,"Blm Diisi")),IF(T156="A/B/C",IF(U156="A",1,IF(U156="B",0.5,IF(U156="C",0,"Blm Diisi"))),IF(T156="A/B/C/D",IF(U156="A",1,IF(U156="B",0.67,IF(U156="C",0.33,IF(U156="D",0,"Blm Diisi")))),IF(T156="A/B/C/D/E",IF(U156="A",1,IF(U156="B",0.75,IF(U156="C",0.5,IF(U156="D",0.25,IF(U156="E",0,"Blm Diisi"))))),IF(T156="%",IF(U156="","Blm Diisi",U156),IF(T156="Jumlah",IF(U156="","Blm Diisi",""),IF(T156="Rupiah",IF(U156="","Blm Diisi",""),IF(T156="","","-"))))))))</f>
        <v>0</v>
      </c>
      <c r="W156" s="28"/>
      <c r="X156" s="36"/>
      <c r="Y156"/>
      <c r="Z156"/>
      <c r="AA156" s="36"/>
      <c r="AB156" s="28" t="s">
        <v>592</v>
      </c>
      <c r="AC156" s="28"/>
      <c r="AD156" s="28" t="str">
        <f>IF(AB156="Ya/Tidak",IF(AC156="Ya",1,IF(AC156="Tidak",0,"Blm Diisi")),IF(AB156="A/B/C",IF(AC156="A",1,IF(AC156="B",0.5,IF(AC156="C",0,"Blm Diisi"))),IF(AB156="A/B/C/D",IF(AC156="A",1,IF(AC156="B",0.67,IF(AC156="C",0.33,IF(AC156="D",0,"Blm Diisi")))),IF(AB156="A/B/C/D/E",IF(AC156="A",1,IF(AC156="B",0.75,IF(AC156="C",0.5,IF(AC156="D",0.25,IF(AC156="E",0,"Blm Diisi"))))),IF(AB156="%",IF(AC156="","Blm Diisi",AC156),IF(AB156="Jumlah",IF(AC156="","Blm Diisi",""),IF(AB156="Rupiah",IF(AC156="","Blm Diisi",""),IF(AB156="","","-"))))))))</f>
        <v>0</v>
      </c>
      <c r="AE156" s="28"/>
      <c r="AF156" s="36"/>
      <c r="AG156"/>
      <c r="AH156"/>
      <c r="AI156" s="36"/>
      <c r="AJ156" s="28" t="s">
        <v>592</v>
      </c>
      <c r="AK156" s="28"/>
      <c r="AL156" s="28" t="str">
        <f>IF(AJ156="Ya/Tidak",IF(AK156="Ya",1,IF(AK156="Tidak",0,"Blm Diisi")),IF(AJ156="A/B/C",IF(AK156="A",1,IF(AK156="B",0.5,IF(AK156="C",0,"Blm Diisi"))),IF(AJ156="A/B/C/D",IF(AK156="A",1,IF(AK156="B",0.67,IF(AK156="C",0.33,IF(AK156="D",0,"Blm Diisi")))),IF(AJ156="A/B/C/D/E",IF(AK156="A",1,IF(AK156="B",0.75,IF(AK156="C",0.5,IF(AK156="D",0.25,IF(AK156="E",0,"Blm Diisi"))))),IF(AJ156="%",IF(AK156="","Blm Diisi",AK156),IF(AJ156="Jumlah",IF(AK156="","Blm Diisi",""),IF(AJ156="Rupiah",IF(AK156="","Blm Diisi",""),IF(AJ156="","","-"))))))))</f>
        <v>0</v>
      </c>
      <c r="AM156" s="28"/>
      <c r="AN156" s="36"/>
    </row>
    <row r="157" spans="1:40">
      <c r="B157" s="21"/>
      <c r="C157" s="21"/>
      <c r="D157" s="21">
        <v>4.0</v>
      </c>
      <c r="E157" s="21" t="s">
        <v>285</v>
      </c>
      <c r="F157" s="21"/>
      <c r="G157" s="21"/>
      <c r="H157" s="26">
        <v>5</v>
      </c>
      <c r="I157" s="21"/>
      <c r="J157" s="26"/>
      <c r="K157" s="26"/>
      <c r="L157" s="26" t="str">
        <f>SUM(L158,L162,L164)</f>
        <v>0</v>
      </c>
      <c r="M157" s="26"/>
      <c r="N157" s="1"/>
      <c r="O157" s="21"/>
      <c r="P157" s="21"/>
      <c r="Q157" s="33"/>
      <c r="R157"/>
      <c r="S157" s="36">
        <v>5</v>
      </c>
      <c r="T157" s="28"/>
      <c r="U157" s="28"/>
      <c r="V157" s="28" t="str">
        <f>SUM(V158,V162,V164)</f>
        <v>0</v>
      </c>
      <c r="W157" s="28"/>
      <c r="X157" s="36"/>
      <c r="Y157"/>
      <c r="Z157"/>
      <c r="AA157" s="36">
        <v>5</v>
      </c>
      <c r="AB157" s="28"/>
      <c r="AC157" s="28"/>
      <c r="AD157" s="28" t="str">
        <f>SUM(AD158,AD162,AD164)</f>
        <v>0</v>
      </c>
      <c r="AE157" s="28"/>
      <c r="AF157" s="36"/>
      <c r="AG157"/>
      <c r="AH157"/>
      <c r="AI157" s="36">
        <v>5</v>
      </c>
      <c r="AJ157" s="28"/>
      <c r="AK157" s="28"/>
      <c r="AL157" s="28" t="str">
        <f>SUM(AL158,AL162,AL164)</f>
        <v>0</v>
      </c>
      <c r="AM157" s="28"/>
      <c r="AN157" s="36"/>
    </row>
    <row r="158" spans="1:40">
      <c r="B158" s="22"/>
      <c r="C158" s="22"/>
      <c r="D158" s="22"/>
      <c r="E158" s="22" t="s">
        <v>18</v>
      </c>
      <c r="F158" s="22" t="s">
        <v>680</v>
      </c>
      <c r="G158" s="22"/>
      <c r="H158" s="27">
        <v>2</v>
      </c>
      <c r="I158" s="22"/>
      <c r="J158" s="27"/>
      <c r="K158" s="27"/>
      <c r="L158" s="27" t="str">
        <f>AVERAGE(L159:L161)*H158</f>
        <v>0</v>
      </c>
      <c r="M158" s="27" t="str">
        <f>L158/H158</f>
        <v>0</v>
      </c>
      <c r="N158" s="1"/>
      <c r="O158" s="22"/>
      <c r="P158" s="22"/>
      <c r="Q158" s="34"/>
      <c r="R158"/>
      <c r="S158" s="36">
        <v>2</v>
      </c>
      <c r="T158" s="28"/>
      <c r="U158" s="28"/>
      <c r="V158" s="28" t="str">
        <f>AVERAGE(V159:V161)*S158</f>
        <v>0</v>
      </c>
      <c r="W158" s="28" t="str">
        <f>V158/S158</f>
        <v>0</v>
      </c>
      <c r="X158" s="36"/>
      <c r="Y158"/>
      <c r="Z158"/>
      <c r="AA158" s="36">
        <v>2</v>
      </c>
      <c r="AB158" s="28"/>
      <c r="AC158" s="28"/>
      <c r="AD158" s="28" t="str">
        <f>AVERAGE(AD159:AD161)*AA158</f>
        <v>0</v>
      </c>
      <c r="AE158" s="28" t="str">
        <f>AD158/AA158</f>
        <v>0</v>
      </c>
      <c r="AF158" s="36"/>
      <c r="AG158"/>
      <c r="AH158"/>
      <c r="AI158" s="36">
        <v>2</v>
      </c>
      <c r="AJ158" s="28"/>
      <c r="AK158" s="28"/>
      <c r="AL158" s="28" t="str">
        <f>AVERAGE(AL159:AL161)*AI158</f>
        <v>0</v>
      </c>
      <c r="AM158" s="28" t="str">
        <f>AL158/AI158</f>
        <v>0</v>
      </c>
      <c r="AN158" s="36"/>
    </row>
    <row r="159" spans="1:40">
      <c r="A159" t="s">
        <v>582</v>
      </c>
      <c r="B159" s="23"/>
      <c r="C159" s="23"/>
      <c r="D159" s="23"/>
      <c r="E159" s="23"/>
      <c r="F159" s="23" t="s">
        <v>601</v>
      </c>
      <c r="G159" s="23" t="s">
        <v>681</v>
      </c>
      <c r="H159" s="28"/>
      <c r="I159" s="23" t="s">
        <v>682</v>
      </c>
      <c r="J159" s="28" t="s">
        <v>585</v>
      </c>
      <c r="K159" s="29" t="str">
        <f>IF(OR(K160="",K161=""),"Blm Diisi",IF(K161/K160&gt;1,1,K161/K160))</f>
        <v>0</v>
      </c>
      <c r="L159" s="28" t="str">
        <f>IF(J159="Ya/Tidak",IF(K159="Ya",1,IF(K159="Tidak",0,"Blm Diisi")),IF(J159="A/B/C",IF(K159="A",1,IF(K159="B",0.5,IF(K159="C",0,"Blm Diisi"))),IF(J159="A/B/C/D",IF(K159="A",1,IF(K159="B",0.67,IF(K159="C",0.33,IF(K159="D",0,"Blm Diisi")))),IF(J159="A/B/C/D/E",IF(K159="A",1,IF(K159="B",0.75,IF(K159="C",0.5,IF(K159="D",0.25,IF(K159="E",0,"Blm Diisi"))))),IF(J159="%",IF(K159="","Blm Diisi",K159),IF(J159="Jumlah",IF(K159="","Blm Diisi",""),IF(J159="Rupiah",IF(K159="","Blm Diisi",""),IF(J159="","","-"))))))))</f>
        <v>0</v>
      </c>
      <c r="M159" s="28"/>
      <c r="O159" s="30" t="s">
        <v>683</v>
      </c>
      <c r="P159" s="30" t="s">
        <v>684</v>
      </c>
      <c r="Q159" s="35" t="s">
        <v>685</v>
      </c>
      <c r="R159"/>
      <c r="S159" s="36"/>
      <c r="T159" s="28" t="s">
        <v>585</v>
      </c>
      <c r="U159" s="28" t="str">
        <f>IF(OR(U160="",U161=""),"Blm Diisi",IF(U161/U160&gt;1,1,U161/U160))</f>
        <v>0</v>
      </c>
      <c r="V159" s="28" t="str">
        <f>IF(T159="Ya/Tidak",IF(U159="Ya",1,IF(U159="Tidak",0,"Blm Diisi")),IF(T159="A/B/C",IF(U159="A",1,IF(U159="B",0.5,IF(U159="C",0,"Blm Diisi"))),IF(T159="A/B/C/D",IF(U159="A",1,IF(U159="B",0.67,IF(U159="C",0.33,IF(U159="D",0,"Blm Diisi")))),IF(T159="A/B/C/D/E",IF(U159="A",1,IF(U159="B",0.75,IF(U159="C",0.5,IF(U159="D",0.25,IF(U159="E",0,"Blm Diisi"))))),IF(T159="%",IF(U159="","Blm Diisi",U159),IF(T159="Jumlah",IF(U159="","Blm Diisi",""),IF(T159="Rupiah",IF(U159="","Blm Diisi",""),IF(T159="","","-"))))))))</f>
        <v>0</v>
      </c>
      <c r="W159" s="28"/>
      <c r="X159" s="36" t="s">
        <v>686</v>
      </c>
      <c r="Y159"/>
      <c r="Z159"/>
      <c r="AA159" s="36"/>
      <c r="AB159" s="28" t="s">
        <v>585</v>
      </c>
      <c r="AC159" s="28" t="str">
        <f>IF(OR(AC160="",AC161=""),"Blm Diisi",IF(AC161/AC160&gt;1,1,AC161/AC160))</f>
        <v>0</v>
      </c>
      <c r="AD159" s="28" t="str">
        <f>IF(AB159="Ya/Tidak",IF(AC159="Ya",1,IF(AC159="Tidak",0,"Blm Diisi")),IF(AB159="A/B/C",IF(AC159="A",1,IF(AC159="B",0.5,IF(AC159="C",0,"Blm Diisi"))),IF(AB159="A/B/C/D",IF(AC159="A",1,IF(AC159="B",0.67,IF(AC159="C",0.33,IF(AC159="D",0,"Blm Diisi")))),IF(AB159="A/B/C/D/E",IF(AC159="A",1,IF(AC159="B",0.75,IF(AC159="C",0.5,IF(AC159="D",0.25,IF(AC159="E",0,"Blm Diisi"))))),IF(AB159="%",IF(AC159="","Blm Diisi",AC159),IF(AB159="Jumlah",IF(AC159="","Blm Diisi",""),IF(AB159="Rupiah",IF(AC159="","Blm Diisi",""),IF(AB159="","","-"))))))))</f>
        <v>0</v>
      </c>
      <c r="AE159" s="28"/>
      <c r="AF159" s="36"/>
      <c r="AG159"/>
      <c r="AH159"/>
      <c r="AI159" s="36"/>
      <c r="AJ159" s="28" t="s">
        <v>585</v>
      </c>
      <c r="AK159" s="28" t="str">
        <f>IF(OR(AK160="",AK161=""),"Blm Diisi",IF(AK161/AK160&gt;1,1,AK161/AK160))</f>
        <v>0</v>
      </c>
      <c r="AL159" s="28" t="str">
        <f>IF(AJ159="Ya/Tidak",IF(AK159="Ya",1,IF(AK159="Tidak",0,"Blm Diisi")),IF(AJ159="A/B/C",IF(AK159="A",1,IF(AK159="B",0.5,IF(AK159="C",0,"Blm Diisi"))),IF(AJ159="A/B/C/D",IF(AK159="A",1,IF(AK159="B",0.67,IF(AK159="C",0.33,IF(AK159="D",0,"Blm Diisi")))),IF(AJ159="A/B/C/D/E",IF(AK159="A",1,IF(AK159="B",0.75,IF(AK159="C",0.5,IF(AK159="D",0.25,IF(AK159="E",0,"Blm Diisi"))))),IF(AJ159="%",IF(AK159="","Blm Diisi",AK159),IF(AJ159="Jumlah",IF(AK159="","Blm Diisi",""),IF(AJ159="Rupiah",IF(AK159="","Blm Diisi",""),IF(AJ159="","","-"))))))))</f>
        <v>0</v>
      </c>
      <c r="AM159" s="28"/>
      <c r="AN159" s="36"/>
    </row>
    <row r="160" spans="1:40">
      <c r="A160" t="s">
        <v>590</v>
      </c>
      <c r="B160" s="23"/>
      <c r="C160" s="23"/>
      <c r="D160" s="23"/>
      <c r="E160" s="23"/>
      <c r="F160" s="23"/>
      <c r="G160" s="23" t="s">
        <v>687</v>
      </c>
      <c r="H160" s="28"/>
      <c r="I160" s="23"/>
      <c r="J160" s="28" t="s">
        <v>592</v>
      </c>
      <c r="K160" s="29">
        <v>50</v>
      </c>
      <c r="L160" s="28" t="str">
        <f>IF(J160="Ya/Tidak",IF(K160="Ya",1,IF(K160="Tidak",0,"Blm Diisi")),IF(J160="A/B/C",IF(K160="A",1,IF(K160="B",0.5,IF(K160="C",0,"Blm Diisi"))),IF(J160="A/B/C/D",IF(K160="A",1,IF(K160="B",0.67,IF(K160="C",0.33,IF(K160="D",0,"Blm Diisi")))),IF(J160="A/B/C/D/E",IF(K160="A",1,IF(K160="B",0.75,IF(K160="C",0.5,IF(K160="D",0.25,IF(K160="E",0,"Blm Diisi"))))),IF(J160="%",IF(K160="","Blm Diisi",K160),IF(J160="Jumlah",IF(K160="","Blm Diisi",""),IF(J160="Rupiah",IF(K160="","Blm Diisi",""),IF(J160="","","-"))))))))</f>
        <v>0</v>
      </c>
      <c r="M160" s="28"/>
      <c r="O160" s="30"/>
      <c r="P160" s="30"/>
      <c r="Q160" s="35"/>
      <c r="R160"/>
      <c r="S160" s="36"/>
      <c r="T160" s="28" t="s">
        <v>592</v>
      </c>
      <c r="U160" s="28">
        <v>50</v>
      </c>
      <c r="V160" s="28" t="str">
        <f>IF(T160="Ya/Tidak",IF(U160="Ya",1,IF(U160="Tidak",0,"Blm Diisi")),IF(T160="A/B/C",IF(U160="A",1,IF(U160="B",0.5,IF(U160="C",0,"Blm Diisi"))),IF(T160="A/B/C/D",IF(U160="A",1,IF(U160="B",0.67,IF(U160="C",0.33,IF(U160="D",0,"Blm Diisi")))),IF(T160="A/B/C/D/E",IF(U160="A",1,IF(U160="B",0.75,IF(U160="C",0.5,IF(U160="D",0.25,IF(U160="E",0,"Blm Diisi"))))),IF(T160="%",IF(U160="","Blm Diisi",U160),IF(T160="Jumlah",IF(U160="","Blm Diisi",""),IF(T160="Rupiah",IF(U160="","Blm Diisi",""),IF(T160="","","-"))))))))</f>
        <v>0</v>
      </c>
      <c r="W160" s="28"/>
      <c r="X160" s="36"/>
      <c r="Y160"/>
      <c r="Z160"/>
      <c r="AA160" s="36"/>
      <c r="AB160" s="28" t="s">
        <v>592</v>
      </c>
      <c r="AC160" s="28"/>
      <c r="AD160" s="28" t="str">
        <f>IF(AB160="Ya/Tidak",IF(AC160="Ya",1,IF(AC160="Tidak",0,"Blm Diisi")),IF(AB160="A/B/C",IF(AC160="A",1,IF(AC160="B",0.5,IF(AC160="C",0,"Blm Diisi"))),IF(AB160="A/B/C/D",IF(AC160="A",1,IF(AC160="B",0.67,IF(AC160="C",0.33,IF(AC160="D",0,"Blm Diisi")))),IF(AB160="A/B/C/D/E",IF(AC160="A",1,IF(AC160="B",0.75,IF(AC160="C",0.5,IF(AC160="D",0.25,IF(AC160="E",0,"Blm Diisi"))))),IF(AB160="%",IF(AC160="","Blm Diisi",AC160),IF(AB160="Jumlah",IF(AC160="","Blm Diisi",""),IF(AB160="Rupiah",IF(AC160="","Blm Diisi",""),IF(AB160="","","-"))))))))</f>
        <v>0</v>
      </c>
      <c r="AE160" s="28"/>
      <c r="AF160" s="36"/>
      <c r="AG160"/>
      <c r="AH160"/>
      <c r="AI160" s="36"/>
      <c r="AJ160" s="28" t="s">
        <v>592</v>
      </c>
      <c r="AK160" s="28"/>
      <c r="AL160" s="28" t="str">
        <f>IF(AJ160="Ya/Tidak",IF(AK160="Ya",1,IF(AK160="Tidak",0,"Blm Diisi")),IF(AJ160="A/B/C",IF(AK160="A",1,IF(AK160="B",0.5,IF(AK160="C",0,"Blm Diisi"))),IF(AJ160="A/B/C/D",IF(AK160="A",1,IF(AK160="B",0.67,IF(AK160="C",0.33,IF(AK160="D",0,"Blm Diisi")))),IF(AJ160="A/B/C/D/E",IF(AK160="A",1,IF(AK160="B",0.75,IF(AK160="C",0.5,IF(AK160="D",0.25,IF(AK160="E",0,"Blm Diisi"))))),IF(AJ160="%",IF(AK160="","Blm Diisi",AK160),IF(AJ160="Jumlah",IF(AK160="","Blm Diisi",""),IF(AJ160="Rupiah",IF(AK160="","Blm Diisi",""),IF(AJ160="","","-"))))))))</f>
        <v>0</v>
      </c>
      <c r="AM160" s="28"/>
      <c r="AN160" s="36"/>
    </row>
    <row r="161" spans="1:40">
      <c r="A161" t="s">
        <v>590</v>
      </c>
      <c r="B161" s="23"/>
      <c r="C161" s="23"/>
      <c r="D161" s="23"/>
      <c r="E161" s="23"/>
      <c r="F161" s="23"/>
      <c r="G161" s="23" t="s">
        <v>688</v>
      </c>
      <c r="H161" s="28"/>
      <c r="I161" s="23"/>
      <c r="J161" s="28" t="s">
        <v>592</v>
      </c>
      <c r="K161" s="29">
        <v>50</v>
      </c>
      <c r="L161" s="28" t="str">
        <f>IF(J161="Ya/Tidak",IF(K161="Ya",1,IF(K161="Tidak",0,"Blm Diisi")),IF(J161="A/B/C",IF(K161="A",1,IF(K161="B",0.5,IF(K161="C",0,"Blm Diisi"))),IF(J161="A/B/C/D",IF(K161="A",1,IF(K161="B",0.67,IF(K161="C",0.33,IF(K161="D",0,"Blm Diisi")))),IF(J161="A/B/C/D/E",IF(K161="A",1,IF(K161="B",0.75,IF(K161="C",0.5,IF(K161="D",0.25,IF(K161="E",0,"Blm Diisi"))))),IF(J161="%",IF(K161="","Blm Diisi",K161),IF(J161="Jumlah",IF(K161="","Blm Diisi",""),IF(J161="Rupiah",IF(K161="","Blm Diisi",""),IF(J161="","","-"))))))))</f>
        <v>0</v>
      </c>
      <c r="M161" s="28"/>
      <c r="O161" s="30"/>
      <c r="P161" s="30"/>
      <c r="Q161" s="35"/>
      <c r="R161"/>
      <c r="S161" s="36"/>
      <c r="T161" s="28" t="s">
        <v>592</v>
      </c>
      <c r="U161" s="28">
        <v>50</v>
      </c>
      <c r="V161" s="28" t="str">
        <f>IF(T161="Ya/Tidak",IF(U161="Ya",1,IF(U161="Tidak",0,"Blm Diisi")),IF(T161="A/B/C",IF(U161="A",1,IF(U161="B",0.5,IF(U161="C",0,"Blm Diisi"))),IF(T161="A/B/C/D",IF(U161="A",1,IF(U161="B",0.67,IF(U161="C",0.33,IF(U161="D",0,"Blm Diisi")))),IF(T161="A/B/C/D/E",IF(U161="A",1,IF(U161="B",0.75,IF(U161="C",0.5,IF(U161="D",0.25,IF(U161="E",0,"Blm Diisi"))))),IF(T161="%",IF(U161="","Blm Diisi",U161),IF(T161="Jumlah",IF(U161="","Blm Diisi",""),IF(T161="Rupiah",IF(U161="","Blm Diisi",""),IF(T161="","","-"))))))))</f>
        <v>0</v>
      </c>
      <c r="W161" s="28"/>
      <c r="X161" s="36"/>
      <c r="Y161"/>
      <c r="Z161"/>
      <c r="AA161" s="36"/>
      <c r="AB161" s="28" t="s">
        <v>592</v>
      </c>
      <c r="AC161" s="28"/>
      <c r="AD161" s="28" t="str">
        <f>IF(AB161="Ya/Tidak",IF(AC161="Ya",1,IF(AC161="Tidak",0,"Blm Diisi")),IF(AB161="A/B/C",IF(AC161="A",1,IF(AC161="B",0.5,IF(AC161="C",0,"Blm Diisi"))),IF(AB161="A/B/C/D",IF(AC161="A",1,IF(AC161="B",0.67,IF(AC161="C",0.33,IF(AC161="D",0,"Blm Diisi")))),IF(AB161="A/B/C/D/E",IF(AC161="A",1,IF(AC161="B",0.75,IF(AC161="C",0.5,IF(AC161="D",0.25,IF(AC161="E",0,"Blm Diisi"))))),IF(AB161="%",IF(AC161="","Blm Diisi",AC161),IF(AB161="Jumlah",IF(AC161="","Blm Diisi",""),IF(AB161="Rupiah",IF(AC161="","Blm Diisi",""),IF(AB161="","","-"))))))))</f>
        <v>0</v>
      </c>
      <c r="AE161" s="28"/>
      <c r="AF161" s="36"/>
      <c r="AG161"/>
      <c r="AH161"/>
      <c r="AI161" s="36"/>
      <c r="AJ161" s="28" t="s">
        <v>592</v>
      </c>
      <c r="AK161" s="28"/>
      <c r="AL161" s="28" t="str">
        <f>IF(AJ161="Ya/Tidak",IF(AK161="Ya",1,IF(AK161="Tidak",0,"Blm Diisi")),IF(AJ161="A/B/C",IF(AK161="A",1,IF(AK161="B",0.5,IF(AK161="C",0,"Blm Diisi"))),IF(AJ161="A/B/C/D",IF(AK161="A",1,IF(AK161="B",0.67,IF(AK161="C",0.33,IF(AK161="D",0,"Blm Diisi")))),IF(AJ161="A/B/C/D/E",IF(AK161="A",1,IF(AK161="B",0.75,IF(AK161="C",0.5,IF(AK161="D",0.25,IF(AK161="E",0,"Blm Diisi"))))),IF(AJ161="%",IF(AK161="","Blm Diisi",AK161),IF(AJ161="Jumlah",IF(AK161="","Blm Diisi",""),IF(AJ161="Rupiah",IF(AK161="","Blm Diisi",""),IF(AJ161="","","-"))))))))</f>
        <v>0</v>
      </c>
      <c r="AM161" s="28"/>
      <c r="AN161" s="36"/>
    </row>
    <row r="162" spans="1:40">
      <c r="B162" s="22"/>
      <c r="C162" s="22"/>
      <c r="D162" s="22"/>
      <c r="E162" s="22" t="s">
        <v>40</v>
      </c>
      <c r="F162" s="22" t="s">
        <v>689</v>
      </c>
      <c r="G162" s="22"/>
      <c r="H162" s="27">
        <v>1.5</v>
      </c>
      <c r="I162" s="22"/>
      <c r="J162" s="27"/>
      <c r="K162" s="27"/>
      <c r="L162" s="27" t="str">
        <f>AVERAGE(L163)*H162</f>
        <v>0</v>
      </c>
      <c r="M162" s="27" t="str">
        <f>L162/H162</f>
        <v>0</v>
      </c>
      <c r="N162" s="1"/>
      <c r="O162" s="22"/>
      <c r="P162" s="22"/>
      <c r="Q162" s="34"/>
      <c r="R162"/>
      <c r="S162" s="36">
        <v>1.5</v>
      </c>
      <c r="T162" s="28"/>
      <c r="U162" s="28"/>
      <c r="V162" s="28" t="str">
        <f>AVERAGE(V163)*S162</f>
        <v>0</v>
      </c>
      <c r="W162" s="28" t="str">
        <f>V162/S162</f>
        <v>0</v>
      </c>
      <c r="X162" s="36"/>
      <c r="Y162"/>
      <c r="Z162"/>
      <c r="AA162" s="36">
        <v>1.5</v>
      </c>
      <c r="AB162" s="28"/>
      <c r="AC162" s="28"/>
      <c r="AD162" s="28" t="str">
        <f>AVERAGE(AD163)*AA162</f>
        <v>0</v>
      </c>
      <c r="AE162" s="28" t="str">
        <f>AD162/AA162</f>
        <v>0</v>
      </c>
      <c r="AF162" s="36"/>
      <c r="AG162"/>
      <c r="AH162"/>
      <c r="AI162" s="36">
        <v>1.5</v>
      </c>
      <c r="AJ162" s="28"/>
      <c r="AK162" s="28"/>
      <c r="AL162" s="28" t="str">
        <f>AVERAGE(AL163)*AI162</f>
        <v>0</v>
      </c>
      <c r="AM162" s="28" t="str">
        <f>AL162/AI162</f>
        <v>0</v>
      </c>
      <c r="AN162" s="36"/>
    </row>
    <row r="163" spans="1:40">
      <c r="A163" t="s">
        <v>20</v>
      </c>
      <c r="B163" s="23"/>
      <c r="C163" s="23"/>
      <c r="D163" s="23"/>
      <c r="E163" s="23"/>
      <c r="F163" s="23" t="s">
        <v>601</v>
      </c>
      <c r="G163" s="23" t="s">
        <v>690</v>
      </c>
      <c r="H163" s="28"/>
      <c r="I163" s="23" t="s">
        <v>691</v>
      </c>
      <c r="J163" s="28" t="s">
        <v>63</v>
      </c>
      <c r="K163" s="29" t="s">
        <v>34</v>
      </c>
      <c r="L163" s="28" t="str">
        <f>IF(J163="Ya/Tidak",IF(K163="Ya",1,IF(K163="Tidak",0,"Blm Diisi")),IF(J163="A/B/C",IF(K163="A",1,IF(K163="B",0.5,IF(K163="C",0,"Blm Diisi"))),IF(J163="A/B/C/D",IF(K163="A",1,IF(K163="B",0.67,IF(K163="C",0.33,IF(K163="D",0,"Blm Diisi")))),IF(J163="A/B/C/D/E",IF(K163="A",1,IF(K163="B",0.75,IF(K163="C",0.5,IF(K163="D",0.25,IF(K163="E",0,"Blm Diisi"))))),IF(J163="%",IF(K163="","Blm Diisi",K163),IF(J163="Jumlah",IF(K163="","Blm Diisi",""),IF(J163="Rupiah",IF(K163="","Blm Diisi",""),IF(J163="","","-"))))))))</f>
        <v>0</v>
      </c>
      <c r="M163" s="28"/>
      <c r="O163" s="30" t="s">
        <v>692</v>
      </c>
      <c r="P163" s="30" t="s">
        <v>693</v>
      </c>
      <c r="Q163" s="35" t="s">
        <v>694</v>
      </c>
      <c r="R163"/>
      <c r="S163" s="36"/>
      <c r="T163" s="28" t="s">
        <v>63</v>
      </c>
      <c r="U163" s="28" t="s">
        <v>38</v>
      </c>
      <c r="V163" s="28" t="str">
        <f>IF(T163="Ya/Tidak",IF(U163="Ya",1,IF(U163="Tidak",0,"Blm Diisi")),IF(T163="A/B/C",IF(U163="A",1,IF(U163="B",0.5,IF(U163="C",0,"Blm Diisi"))),IF(T163="A/B/C/D",IF(U163="A",1,IF(U163="B",0.67,IF(U163="C",0.33,IF(U163="D",0,"Blm Diisi")))),IF(T163="A/B/C/D/E",IF(U163="A",1,IF(U163="B",0.75,IF(U163="C",0.5,IF(U163="D",0.25,IF(U163="E",0,"Blm Diisi"))))),IF(T163="%",IF(U163="","Blm Diisi",U163),IF(T163="Jumlah",IF(U163="","Blm Diisi",""),IF(T163="Rupiah",IF(U163="","Blm Diisi",""),IF(T163="","","-"))))))))</f>
        <v>0</v>
      </c>
      <c r="W163" s="28"/>
      <c r="X163" s="36" t="s">
        <v>695</v>
      </c>
      <c r="Y163"/>
      <c r="Z163"/>
      <c r="AA163" s="36"/>
      <c r="AB163" s="28" t="s">
        <v>63</v>
      </c>
      <c r="AC163" s="28"/>
      <c r="AD163" s="28" t="str">
        <f>IF(AB163="Ya/Tidak",IF(AC163="Ya",1,IF(AC163="Tidak",0,"Blm Diisi")),IF(AB163="A/B/C",IF(AC163="A",1,IF(AC163="B",0.5,IF(AC163="C",0,"Blm Diisi"))),IF(AB163="A/B/C/D",IF(AC163="A",1,IF(AC163="B",0.67,IF(AC163="C",0.33,IF(AC163="D",0,"Blm Diisi")))),IF(AB163="A/B/C/D/E",IF(AC163="A",1,IF(AC163="B",0.75,IF(AC163="C",0.5,IF(AC163="D",0.25,IF(AC163="E",0,"Blm Diisi"))))),IF(AB163="%",IF(AC163="","Blm Diisi",AC163),IF(AB163="Jumlah",IF(AC163="","Blm Diisi",""),IF(AB163="Rupiah",IF(AC163="","Blm Diisi",""),IF(AB163="","","-"))))))))</f>
        <v>0</v>
      </c>
      <c r="AE163" s="28"/>
      <c r="AF163" s="36"/>
      <c r="AG163"/>
      <c r="AH163"/>
      <c r="AI163" s="36"/>
      <c r="AJ163" s="28" t="s">
        <v>63</v>
      </c>
      <c r="AK163" s="28"/>
      <c r="AL163" s="28" t="str">
        <f>IF(AJ163="Ya/Tidak",IF(AK163="Ya",1,IF(AK163="Tidak",0,"Blm Diisi")),IF(AJ163="A/B/C",IF(AK163="A",1,IF(AK163="B",0.5,IF(AK163="C",0,"Blm Diisi"))),IF(AJ163="A/B/C/D",IF(AK163="A",1,IF(AK163="B",0.67,IF(AK163="C",0.33,IF(AK163="D",0,"Blm Diisi")))),IF(AJ163="A/B/C/D/E",IF(AK163="A",1,IF(AK163="B",0.75,IF(AK163="C",0.5,IF(AK163="D",0.25,IF(AK163="E",0,"Blm Diisi"))))),IF(AJ163="%",IF(AK163="","Blm Diisi",AK163),IF(AJ163="Jumlah",IF(AK163="","Blm Diisi",""),IF(AJ163="Rupiah",IF(AK163="","Blm Diisi",""),IF(AJ163="","","-"))))))))</f>
        <v>0</v>
      </c>
      <c r="AM163" s="28"/>
      <c r="AN163" s="36"/>
    </row>
    <row r="164" spans="1:40">
      <c r="B164" s="22"/>
      <c r="C164" s="22"/>
      <c r="D164" s="22"/>
      <c r="E164" s="22" t="s">
        <v>59</v>
      </c>
      <c r="F164" s="22" t="s">
        <v>696</v>
      </c>
      <c r="G164" s="22"/>
      <c r="H164" s="27">
        <v>1.5</v>
      </c>
      <c r="I164" s="22"/>
      <c r="J164" s="27"/>
      <c r="K164" s="27"/>
      <c r="L164" s="27" t="str">
        <f>AVERAGE(L165)*H164</f>
        <v>0</v>
      </c>
      <c r="M164" s="27" t="str">
        <f>L164/H164</f>
        <v>0</v>
      </c>
      <c r="N164" s="1"/>
      <c r="O164" s="22"/>
      <c r="P164" s="22"/>
      <c r="Q164" s="34"/>
      <c r="R164"/>
      <c r="S164" s="36">
        <v>1.5</v>
      </c>
      <c r="T164" s="28"/>
      <c r="U164" s="28"/>
      <c r="V164" s="28" t="str">
        <f>AVERAGE(V165)*S164</f>
        <v>0</v>
      </c>
      <c r="W164" s="28" t="str">
        <f>V164/S164</f>
        <v>0</v>
      </c>
      <c r="X164" s="36"/>
      <c r="Y164"/>
      <c r="Z164"/>
      <c r="AA164" s="36">
        <v>1.5</v>
      </c>
      <c r="AB164" s="28"/>
      <c r="AC164" s="28"/>
      <c r="AD164" s="28" t="str">
        <f>AVERAGE(AD165)*AA164</f>
        <v>0</v>
      </c>
      <c r="AE164" s="28" t="str">
        <f>AD164/AA164</f>
        <v>0</v>
      </c>
      <c r="AF164" s="36"/>
      <c r="AG164"/>
      <c r="AH164"/>
      <c r="AI164" s="36">
        <v>1.5</v>
      </c>
      <c r="AJ164" s="28"/>
      <c r="AK164" s="28"/>
      <c r="AL164" s="28" t="str">
        <f>AVERAGE(AL165)*AI164</f>
        <v>0</v>
      </c>
      <c r="AM164" s="28" t="str">
        <f>AL164/AI164</f>
        <v>0</v>
      </c>
      <c r="AN164" s="36"/>
    </row>
    <row r="165" spans="1:40">
      <c r="A165" t="s">
        <v>20</v>
      </c>
      <c r="B165" s="23"/>
      <c r="C165" s="23"/>
      <c r="D165" s="23"/>
      <c r="E165" s="23"/>
      <c r="F165" s="23" t="s">
        <v>601</v>
      </c>
      <c r="G165" s="23" t="s">
        <v>697</v>
      </c>
      <c r="H165" s="28"/>
      <c r="I165" s="23" t="s">
        <v>698</v>
      </c>
      <c r="J165" s="28" t="s">
        <v>63</v>
      </c>
      <c r="K165" s="29" t="s">
        <v>34</v>
      </c>
      <c r="L165" s="28" t="str">
        <f>IF(J165="Ya/Tidak",IF(K165="Ya",1,IF(K165="Tidak",0,"Blm Diisi")),IF(J165="A/B/C",IF(K165="A",1,IF(K165="B",0.5,IF(K165="C",0,"Blm Diisi"))),IF(J165="A/B/C/D",IF(K165="A",1,IF(K165="B",0.67,IF(K165="C",0.33,IF(K165="D",0,"Blm Diisi")))),IF(J165="A/B/C/D/E",IF(K165="A",1,IF(K165="B",0.75,IF(K165="C",0.5,IF(K165="D",0.25,IF(K165="E",0,"Blm Diisi"))))),IF(J165="%",IF(K165="","Blm Diisi",K165),IF(J165="Jumlah",IF(K165="","Blm Diisi",""),IF(J165="Rupiah",IF(K165="","Blm Diisi",""),IF(J165="","","-"))))))))</f>
        <v>0</v>
      </c>
      <c r="M165" s="28"/>
      <c r="O165" s="30" t="s">
        <v>699</v>
      </c>
      <c r="P165" s="30" t="s">
        <v>700</v>
      </c>
      <c r="Q165" s="35" t="s">
        <v>701</v>
      </c>
      <c r="R165"/>
      <c r="S165" s="36"/>
      <c r="T165" s="28" t="s">
        <v>63</v>
      </c>
      <c r="U165" s="28" t="s">
        <v>34</v>
      </c>
      <c r="V165" s="28" t="str">
        <f>IF(T165="Ya/Tidak",IF(U165="Ya",1,IF(U165="Tidak",0,"Blm Diisi")),IF(T165="A/B/C",IF(U165="A",1,IF(U165="B",0.5,IF(U165="C",0,"Blm Diisi"))),IF(T165="A/B/C/D",IF(U165="A",1,IF(U165="B",0.67,IF(U165="C",0.33,IF(U165="D",0,"Blm Diisi")))),IF(T165="A/B/C/D/E",IF(U165="A",1,IF(U165="B",0.75,IF(U165="C",0.5,IF(U165="D",0.25,IF(U165="E",0,"Blm Diisi"))))),IF(T165="%",IF(U165="","Blm Diisi",U165),IF(T165="Jumlah",IF(U165="","Blm Diisi",""),IF(T165="Rupiah",IF(U165="","Blm Diisi",""),IF(T165="","","-"))))))))</f>
        <v>0</v>
      </c>
      <c r="W165" s="28"/>
      <c r="X165" s="36" t="s">
        <v>702</v>
      </c>
      <c r="Y165"/>
      <c r="Z165"/>
      <c r="AA165" s="36"/>
      <c r="AB165" s="28" t="s">
        <v>63</v>
      </c>
      <c r="AC165" s="28"/>
      <c r="AD165" s="28" t="str">
        <f>IF(AB165="Ya/Tidak",IF(AC165="Ya",1,IF(AC165="Tidak",0,"Blm Diisi")),IF(AB165="A/B/C",IF(AC165="A",1,IF(AC165="B",0.5,IF(AC165="C",0,"Blm Diisi"))),IF(AB165="A/B/C/D",IF(AC165="A",1,IF(AC165="B",0.67,IF(AC165="C",0.33,IF(AC165="D",0,"Blm Diisi")))),IF(AB165="A/B/C/D/E",IF(AC165="A",1,IF(AC165="B",0.75,IF(AC165="C",0.5,IF(AC165="D",0.25,IF(AC165="E",0,"Blm Diisi"))))),IF(AB165="%",IF(AC165="","Blm Diisi",AC165),IF(AB165="Jumlah",IF(AC165="","Blm Diisi",""),IF(AB165="Rupiah",IF(AC165="","Blm Diisi",""),IF(AB165="","","-"))))))))</f>
        <v>0</v>
      </c>
      <c r="AE165" s="28"/>
      <c r="AF165" s="36"/>
      <c r="AG165"/>
      <c r="AH165"/>
      <c r="AI165" s="36"/>
      <c r="AJ165" s="28" t="s">
        <v>63</v>
      </c>
      <c r="AK165" s="28"/>
      <c r="AL165" s="28" t="str">
        <f>IF(AJ165="Ya/Tidak",IF(AK165="Ya",1,IF(AK165="Tidak",0,"Blm Diisi")),IF(AJ165="A/B/C",IF(AK165="A",1,IF(AK165="B",0.5,IF(AK165="C",0,"Blm Diisi"))),IF(AJ165="A/B/C/D",IF(AK165="A",1,IF(AK165="B",0.67,IF(AK165="C",0.33,IF(AK165="D",0,"Blm Diisi")))),IF(AJ165="A/B/C/D/E",IF(AK165="A",1,IF(AK165="B",0.75,IF(AK165="C",0.5,IF(AK165="D",0.25,IF(AK165="E",0,"Blm Diisi"))))),IF(AJ165="%",IF(AK165="","Blm Diisi",AK165),IF(AJ165="Jumlah",IF(AK165="","Blm Diisi",""),IF(AJ165="Rupiah",IF(AK165="","Blm Diisi",""),IF(AJ165="","","-"))))))))</f>
        <v>0</v>
      </c>
      <c r="AM165" s="28"/>
      <c r="AN165" s="36"/>
    </row>
    <row r="166" spans="1:40">
      <c r="B166" s="21"/>
      <c r="C166" s="21"/>
      <c r="D166" s="21">
        <v>5.0</v>
      </c>
      <c r="E166" s="21" t="s">
        <v>355</v>
      </c>
      <c r="F166" s="21"/>
      <c r="G166" s="21"/>
      <c r="H166" s="26">
        <v>7.5</v>
      </c>
      <c r="I166" s="21"/>
      <c r="J166" s="26"/>
      <c r="K166" s="26"/>
      <c r="L166" s="26" t="str">
        <f>SUM(L167,L169,L174)</f>
        <v>0</v>
      </c>
      <c r="M166" s="26" t="str">
        <f>L166/H166</f>
        <v>0</v>
      </c>
      <c r="N166" s="1"/>
      <c r="O166" s="21"/>
      <c r="P166" s="21"/>
      <c r="Q166" s="33"/>
      <c r="R166"/>
      <c r="S166" s="36">
        <v>7.5</v>
      </c>
      <c r="T166" s="28"/>
      <c r="U166" s="28"/>
      <c r="V166" s="28" t="str">
        <f>SUM(V167,V169,V174)</f>
        <v>0</v>
      </c>
      <c r="W166" s="28" t="str">
        <f>V166/S166</f>
        <v>0</v>
      </c>
      <c r="X166" s="36"/>
      <c r="Y166"/>
      <c r="Z166"/>
      <c r="AA166" s="36">
        <v>7.5</v>
      </c>
      <c r="AB166" s="28"/>
      <c r="AC166" s="28"/>
      <c r="AD166" s="28" t="str">
        <f>SUM(AD167,AD169,AD174)</f>
        <v>0</v>
      </c>
      <c r="AE166" s="28" t="str">
        <f>AD166/AA166</f>
        <v>0</v>
      </c>
      <c r="AF166" s="36"/>
      <c r="AG166"/>
      <c r="AH166"/>
      <c r="AI166" s="36">
        <v>7.5</v>
      </c>
      <c r="AJ166" s="28"/>
      <c r="AK166" s="28"/>
      <c r="AL166" s="28" t="str">
        <f>SUM(AL167,AL169,AL174)</f>
        <v>0</v>
      </c>
      <c r="AM166" s="28" t="str">
        <f>AL166/AI166</f>
        <v>0</v>
      </c>
      <c r="AN166" s="36"/>
    </row>
    <row r="167" spans="1:40">
      <c r="B167" s="22"/>
      <c r="C167" s="22"/>
      <c r="D167" s="22"/>
      <c r="E167" s="22" t="s">
        <v>18</v>
      </c>
      <c r="F167" s="22" t="s">
        <v>703</v>
      </c>
      <c r="G167" s="22"/>
      <c r="H167" s="27">
        <v>2.5</v>
      </c>
      <c r="I167" s="22"/>
      <c r="J167" s="27"/>
      <c r="K167" s="27"/>
      <c r="L167" s="27" t="str">
        <f>AVERAGE(L168:L168)*H167</f>
        <v>0</v>
      </c>
      <c r="M167" s="27" t="str">
        <f>L167/H167</f>
        <v>0</v>
      </c>
      <c r="N167" s="1"/>
      <c r="O167" s="22"/>
      <c r="P167" s="22"/>
      <c r="Q167" s="34"/>
      <c r="R167"/>
      <c r="S167" s="36">
        <v>2.5</v>
      </c>
      <c r="T167" s="28"/>
      <c r="U167" s="28"/>
      <c r="V167" s="28" t="str">
        <f>AVERAGE(V168:V168)*S167</f>
        <v>0</v>
      </c>
      <c r="W167" s="28" t="str">
        <f>V167/S167</f>
        <v>0</v>
      </c>
      <c r="X167" s="36"/>
      <c r="Y167"/>
      <c r="Z167"/>
      <c r="AA167" s="36">
        <v>2.5</v>
      </c>
      <c r="AB167" s="28"/>
      <c r="AC167" s="28"/>
      <c r="AD167" s="28" t="str">
        <f>AVERAGE(AD168:AD168)*AA167</f>
        <v>0</v>
      </c>
      <c r="AE167" s="28" t="str">
        <f>AD167/AA167</f>
        <v>0</v>
      </c>
      <c r="AF167" s="36"/>
      <c r="AG167"/>
      <c r="AH167"/>
      <c r="AI167" s="36">
        <v>2.5</v>
      </c>
      <c r="AJ167" s="28"/>
      <c r="AK167" s="28"/>
      <c r="AL167" s="28" t="str">
        <f>AVERAGE(AL168:AL168)*AI167</f>
        <v>0</v>
      </c>
      <c r="AM167" s="28" t="str">
        <f>AL167/AI167</f>
        <v>0</v>
      </c>
      <c r="AN167" s="36"/>
    </row>
    <row r="168" spans="1:40">
      <c r="A168" t="s">
        <v>20</v>
      </c>
      <c r="B168" s="23"/>
      <c r="C168" s="23"/>
      <c r="D168" s="23"/>
      <c r="E168" s="23"/>
      <c r="F168" s="23" t="s">
        <v>601</v>
      </c>
      <c r="G168" s="23" t="s">
        <v>704</v>
      </c>
      <c r="H168" s="28"/>
      <c r="I168" s="23" t="s">
        <v>705</v>
      </c>
      <c r="J168" s="28" t="s">
        <v>116</v>
      </c>
      <c r="K168" s="29" t="s">
        <v>34</v>
      </c>
      <c r="L168" s="28" t="str">
        <f>IF(J168="Ya/Tidak",IF(K168="Ya",1,IF(K168="Tidak",0,"Blm Diisi")),IF(J168="A/B/C",IF(K168="A",1,IF(K168="B",0.5,IF(K168="C",0,"Blm Diisi"))),IF(J168="A/B/C/D",IF(K168="A",1,IF(K168="B",0.67,IF(K168="C",0.33,IF(K168="D",0,"Blm Diisi")))),IF(J168="A/B/C/D/E",IF(K168="A",1,IF(K168="B",0.75,IF(K168="C",0.5,IF(K168="D",0.25,IF(K168="E",0,"Blm Diisi"))))),IF(J168="%",IF(K168="","Blm Diisi",K168),IF(J168="Jumlah",IF(K168="","Blm Diisi",""),IF(J168="Rupiah",IF(K168="","Blm Diisi",""),IF(J168="","","-"))))))))</f>
        <v>0</v>
      </c>
      <c r="M168" s="28"/>
      <c r="O168" s="30" t="s">
        <v>706</v>
      </c>
      <c r="P168" s="30" t="s">
        <v>707</v>
      </c>
      <c r="Q168" s="35" t="s">
        <v>708</v>
      </c>
      <c r="R168"/>
      <c r="S168" s="36"/>
      <c r="T168" s="28" t="s">
        <v>116</v>
      </c>
      <c r="U168" s="28" t="s">
        <v>34</v>
      </c>
      <c r="V168" s="28" t="str">
        <f>IF(T168="Ya/Tidak",IF(U168="Ya",1,IF(U168="Tidak",0,"Blm Diisi")),IF(T168="A/B/C",IF(U168="A",1,IF(U168="B",0.5,IF(U168="C",0,"Blm Diisi"))),IF(T168="A/B/C/D",IF(U168="A",1,IF(U168="B",0.67,IF(U168="C",0.33,IF(U168="D",0,"Blm Diisi")))),IF(T168="A/B/C/D/E",IF(U168="A",1,IF(U168="B",0.75,IF(U168="C",0.5,IF(U168="D",0.25,IF(U168="E",0,"Blm Diisi"))))),IF(T168="%",IF(U168="","Blm Diisi",U168),IF(T168="Jumlah",IF(U168="","Blm Diisi",""),IF(T168="Rupiah",IF(U168="","Blm Diisi",""),IF(T168="","","-"))))))))</f>
        <v>0</v>
      </c>
      <c r="W168" s="28"/>
      <c r="X168" s="36" t="s">
        <v>709</v>
      </c>
      <c r="Y168"/>
      <c r="Z168"/>
      <c r="AA168" s="36"/>
      <c r="AB168" s="28" t="s">
        <v>116</v>
      </c>
      <c r="AC168" s="28"/>
      <c r="AD168" s="28" t="str">
        <f>IF(AB168="Ya/Tidak",IF(AC168="Ya",1,IF(AC168="Tidak",0,"Blm Diisi")),IF(AB168="A/B/C",IF(AC168="A",1,IF(AC168="B",0.5,IF(AC168="C",0,"Blm Diisi"))),IF(AB168="A/B/C/D",IF(AC168="A",1,IF(AC168="B",0.67,IF(AC168="C",0.33,IF(AC168="D",0,"Blm Diisi")))),IF(AB168="A/B/C/D/E",IF(AC168="A",1,IF(AC168="B",0.75,IF(AC168="C",0.5,IF(AC168="D",0.25,IF(AC168="E",0,"Blm Diisi"))))),IF(AB168="%",IF(AC168="","Blm Diisi",AC168),IF(AB168="Jumlah",IF(AC168="","Blm Diisi",""),IF(AB168="Rupiah",IF(AC168="","Blm Diisi",""),IF(AB168="","","-"))))))))</f>
        <v>0</v>
      </c>
      <c r="AE168" s="28"/>
      <c r="AF168" s="36"/>
      <c r="AG168"/>
      <c r="AH168"/>
      <c r="AI168" s="36"/>
      <c r="AJ168" s="28" t="s">
        <v>116</v>
      </c>
      <c r="AK168" s="28"/>
      <c r="AL168" s="28" t="str">
        <f>IF(AJ168="Ya/Tidak",IF(AK168="Ya",1,IF(AK168="Tidak",0,"Blm Diisi")),IF(AJ168="A/B/C",IF(AK168="A",1,IF(AK168="B",0.5,IF(AK168="C",0,"Blm Diisi"))),IF(AJ168="A/B/C/D",IF(AK168="A",1,IF(AK168="B",0.67,IF(AK168="C",0.33,IF(AK168="D",0,"Blm Diisi")))),IF(AJ168="A/B/C/D/E",IF(AK168="A",1,IF(AK168="B",0.75,IF(AK168="C",0.5,IF(AK168="D",0.25,IF(AK168="E",0,"Blm Diisi"))))),IF(AJ168="%",IF(AK168="","Blm Diisi",AK168),IF(AJ168="Jumlah",IF(AK168="","Blm Diisi",""),IF(AJ168="Rupiah",IF(AK168="","Blm Diisi",""),IF(AJ168="","","-"))))))))</f>
        <v>0</v>
      </c>
      <c r="AM168" s="28"/>
      <c r="AN168" s="36"/>
    </row>
    <row r="169" spans="1:40">
      <c r="B169" s="22"/>
      <c r="C169" s="22"/>
      <c r="D169" s="22"/>
      <c r="E169" s="22" t="s">
        <v>40</v>
      </c>
      <c r="F169" s="22" t="s">
        <v>710</v>
      </c>
      <c r="G169" s="22"/>
      <c r="H169" s="27">
        <v>3</v>
      </c>
      <c r="I169" s="22"/>
      <c r="J169" s="27" t="s">
        <v>585</v>
      </c>
      <c r="K169" s="27"/>
      <c r="L169" s="27" t="str">
        <f>AVERAGE(L170:L173)*H169</f>
        <v>0</v>
      </c>
      <c r="M169" s="27" t="str">
        <f>L169/H169</f>
        <v>0</v>
      </c>
      <c r="N169" s="1"/>
      <c r="O169" s="22"/>
      <c r="P169" s="22"/>
      <c r="Q169" s="34"/>
      <c r="R169"/>
      <c r="S169" s="36">
        <v>3</v>
      </c>
      <c r="T169" s="28" t="s">
        <v>585</v>
      </c>
      <c r="U169" s="28"/>
      <c r="V169" s="28" t="str">
        <f>AVERAGE(V170:V173)*S169</f>
        <v>0</v>
      </c>
      <c r="W169" s="28" t="str">
        <f>V169/S169</f>
        <v>0</v>
      </c>
      <c r="X169" s="36"/>
      <c r="Y169"/>
      <c r="Z169"/>
      <c r="AA169" s="36">
        <v>3</v>
      </c>
      <c r="AB169" s="28" t="s">
        <v>585</v>
      </c>
      <c r="AC169" s="28"/>
      <c r="AD169" s="28" t="str">
        <f>AVERAGE(AD170:AD173)*AA169</f>
        <v>0</v>
      </c>
      <c r="AE169" s="28" t="str">
        <f>AD169/AA169</f>
        <v>0</v>
      </c>
      <c r="AF169" s="36"/>
      <c r="AG169"/>
      <c r="AH169"/>
      <c r="AI169" s="36">
        <v>3</v>
      </c>
      <c r="AJ169" s="28" t="s">
        <v>585</v>
      </c>
      <c r="AK169" s="28"/>
      <c r="AL169" s="28" t="str">
        <f>AVERAGE(AL170:AL173)*AI169</f>
        <v>0</v>
      </c>
      <c r="AM169" s="28" t="str">
        <f>AL169/AI169</f>
        <v>0</v>
      </c>
      <c r="AN169" s="36"/>
    </row>
    <row r="170" spans="1:40">
      <c r="A170" t="s">
        <v>582</v>
      </c>
      <c r="B170" s="23"/>
      <c r="C170" s="23"/>
      <c r="D170" s="23"/>
      <c r="E170" s="23"/>
      <c r="F170" s="23" t="s">
        <v>601</v>
      </c>
      <c r="G170" s="23" t="s">
        <v>711</v>
      </c>
      <c r="H170" s="28"/>
      <c r="I170" s="23" t="s">
        <v>712</v>
      </c>
      <c r="J170" s="28" t="s">
        <v>585</v>
      </c>
      <c r="K170" s="29" t="str">
        <f>IF(OR(K171="",K173="",K172=""),"Blm Diisi",IF(K173/K171&gt;1,1,K173/K171))</f>
        <v>0</v>
      </c>
      <c r="L170" s="28" t="str">
        <f>IF(J170="Ya/Tidak",IF(K170="Ya",1,IF(K170="Tidak",0,"Blm Diisi")),IF(J170="A/B/C",IF(K170="A",1,IF(K170="B",0.5,IF(K170="C",0,"Blm Diisi"))),IF(J170="A/B/C/D",IF(K170="A",1,IF(K170="B",0.67,IF(K170="C",0.33,IF(K170="D",0,"Blm Diisi")))),IF(J170="A/B/C/D/E",IF(K170="A",1,IF(K170="B",0.75,IF(K170="C",0.5,IF(K170="D",0.25,IF(K170="E",0,"Blm Diisi"))))),IF(J170="%",IF(K170="","Blm Diisi",K170),IF(J170="Jumlah",IF(K170="","Blm Diisi",""),IF(J170="Rupiah",IF(K170="","Blm Diisi",""),IF(J170="","","-"))))))))</f>
        <v>0</v>
      </c>
      <c r="M170" s="28"/>
      <c r="O170" s="30"/>
      <c r="P170" s="30" t="s">
        <v>713</v>
      </c>
      <c r="Q170" s="35" t="s">
        <v>714</v>
      </c>
      <c r="R170"/>
      <c r="S170" s="36"/>
      <c r="T170" s="28" t="s">
        <v>585</v>
      </c>
      <c r="U170" s="28" t="str">
        <f>IF(OR(U171="",U173="",U172=""),"Blm Diisi",IF(U173/U171&gt;1,1,U173/U171))</f>
        <v>0</v>
      </c>
      <c r="V170" s="28" t="str">
        <f>IF(T170="Ya/Tidak",IF(U170="Ya",1,IF(U170="Tidak",0,"Blm Diisi")),IF(T170="A/B/C",IF(U170="A",1,IF(U170="B",0.5,IF(U170="C",0,"Blm Diisi"))),IF(T170="A/B/C/D",IF(U170="A",1,IF(U170="B",0.67,IF(U170="C",0.33,IF(U170="D",0,"Blm Diisi")))),IF(T170="A/B/C/D/E",IF(U170="A",1,IF(U170="B",0.75,IF(U170="C",0.5,IF(U170="D",0.25,IF(U170="E",0,"Blm Diisi"))))),IF(T170="%",IF(U170="","Blm Diisi",U170),IF(T170="Jumlah",IF(U170="","Blm Diisi",""),IF(T170="Rupiah",IF(U170="","Blm Diisi",""),IF(T170="","","-"))))))))</f>
        <v>0</v>
      </c>
      <c r="W170" s="28"/>
      <c r="X170" s="36" t="s">
        <v>715</v>
      </c>
      <c r="Y170"/>
      <c r="Z170"/>
      <c r="AA170" s="36"/>
      <c r="AB170" s="28" t="s">
        <v>585</v>
      </c>
      <c r="AC170" s="28" t="str">
        <f>IF(OR(AC171="",AC173="",AC172=""),"Blm Diisi",IF(AC173/AC171&gt;1,1,AC173/AC171))</f>
        <v>0</v>
      </c>
      <c r="AD170" s="28" t="str">
        <f>IF(AB170="Ya/Tidak",IF(AC170="Ya",1,IF(AC170="Tidak",0,"Blm Diisi")),IF(AB170="A/B/C",IF(AC170="A",1,IF(AC170="B",0.5,IF(AC170="C",0,"Blm Diisi"))),IF(AB170="A/B/C/D",IF(AC170="A",1,IF(AC170="B",0.67,IF(AC170="C",0.33,IF(AC170="D",0,"Blm Diisi")))),IF(AB170="A/B/C/D/E",IF(AC170="A",1,IF(AC170="B",0.75,IF(AC170="C",0.5,IF(AC170="D",0.25,IF(AC170="E",0,"Blm Diisi"))))),IF(AB170="%",IF(AC170="","Blm Diisi",AC170),IF(AB170="Jumlah",IF(AC170="","Blm Diisi",""),IF(AB170="Rupiah",IF(AC170="","Blm Diisi",""),IF(AB170="","","-"))))))))</f>
        <v>0</v>
      </c>
      <c r="AE170" s="28"/>
      <c r="AF170" s="36"/>
      <c r="AG170"/>
      <c r="AH170"/>
      <c r="AI170" s="36"/>
      <c r="AJ170" s="28" t="s">
        <v>585</v>
      </c>
      <c r="AK170" s="28" t="str">
        <f>IF(OR(AK171="",AK173="",AK172=""),"Blm Diisi",IF(AK173/AK171&gt;1,1,AK173/AK171))</f>
        <v>0</v>
      </c>
      <c r="AL170" s="28" t="str">
        <f>IF(AJ170="Ya/Tidak",IF(AK170="Ya",1,IF(AK170="Tidak",0,"Blm Diisi")),IF(AJ170="A/B/C",IF(AK170="A",1,IF(AK170="B",0.5,IF(AK170="C",0,"Blm Diisi"))),IF(AJ170="A/B/C/D",IF(AK170="A",1,IF(AK170="B",0.67,IF(AK170="C",0.33,IF(AK170="D",0,"Blm Diisi")))),IF(AJ170="A/B/C/D/E",IF(AK170="A",1,IF(AK170="B",0.75,IF(AK170="C",0.5,IF(AK170="D",0.25,IF(AK170="E",0,"Blm Diisi"))))),IF(AJ170="%",IF(AK170="","Blm Diisi",AK170),IF(AJ170="Jumlah",IF(AK170="","Blm Diisi",""),IF(AJ170="Rupiah",IF(AK170="","Blm Diisi",""),IF(AJ170="","","-"))))))))</f>
        <v>0</v>
      </c>
      <c r="AM170" s="28"/>
      <c r="AN170" s="36"/>
    </row>
    <row r="171" spans="1:40">
      <c r="A171" t="s">
        <v>590</v>
      </c>
      <c r="B171" s="23"/>
      <c r="C171" s="23"/>
      <c r="D171" s="23"/>
      <c r="E171" s="23"/>
      <c r="F171" s="23"/>
      <c r="G171" s="23" t="s">
        <v>716</v>
      </c>
      <c r="H171" s="28"/>
      <c r="I171" s="23"/>
      <c r="J171" s="28" t="s">
        <v>592</v>
      </c>
      <c r="K171" s="29">
        <v>14</v>
      </c>
      <c r="L171" s="28" t="str">
        <f>IF(J171="Ya/Tidak",IF(K171="Ya",1,IF(K171="Tidak",0,"Blm Diisi")),IF(J171="A/B/C",IF(K171="A",1,IF(K171="B",0.5,IF(K171="C",0,"Blm Diisi"))),IF(J171="A/B/C/D",IF(K171="A",1,IF(K171="B",0.67,IF(K171="C",0.33,IF(K171="D",0,"Blm Diisi")))),IF(J171="A/B/C/D/E",IF(K171="A",1,IF(K171="B",0.75,IF(K171="C",0.5,IF(K171="D",0.25,IF(K171="E",0,"Blm Diisi"))))),IF(J171="%",IF(K171="","Blm Diisi",K171),IF(J171="Jumlah",IF(K171="","Blm Diisi",""),IF(J171="Rupiah",IF(K171="","Blm Diisi",""),IF(J171="","","-"))))))))</f>
        <v>0</v>
      </c>
      <c r="M171" s="28"/>
      <c r="O171" s="30"/>
      <c r="P171" s="30"/>
      <c r="Q171" s="35"/>
      <c r="R171"/>
      <c r="S171" s="36"/>
      <c r="T171" s="28" t="s">
        <v>592</v>
      </c>
      <c r="U171" s="28">
        <v>2</v>
      </c>
      <c r="V171" s="28" t="str">
        <f>IF(T171="Ya/Tidak",IF(U171="Ya",1,IF(U171="Tidak",0,"Blm Diisi")),IF(T171="A/B/C",IF(U171="A",1,IF(U171="B",0.5,IF(U171="C",0,"Blm Diisi"))),IF(T171="A/B/C/D",IF(U171="A",1,IF(U171="B",0.67,IF(U171="C",0.33,IF(U171="D",0,"Blm Diisi")))),IF(T171="A/B/C/D/E",IF(U171="A",1,IF(U171="B",0.75,IF(U171="C",0.5,IF(U171="D",0.25,IF(U171="E",0,"Blm Diisi"))))),IF(T171="%",IF(U171="","Blm Diisi",U171),IF(T171="Jumlah",IF(U171="","Blm Diisi",""),IF(T171="Rupiah",IF(U171="","Blm Diisi",""),IF(T171="","","-"))))))))</f>
        <v>0</v>
      </c>
      <c r="W171" s="28"/>
      <c r="X171" s="36"/>
      <c r="Y171"/>
      <c r="Z171"/>
      <c r="AA171" s="36"/>
      <c r="AB171" s="28" t="s">
        <v>592</v>
      </c>
      <c r="AC171" s="28"/>
      <c r="AD171" s="28" t="str">
        <f>IF(AB171="Ya/Tidak",IF(AC171="Ya",1,IF(AC171="Tidak",0,"Blm Diisi")),IF(AB171="A/B/C",IF(AC171="A",1,IF(AC171="B",0.5,IF(AC171="C",0,"Blm Diisi"))),IF(AB171="A/B/C/D",IF(AC171="A",1,IF(AC171="B",0.67,IF(AC171="C",0.33,IF(AC171="D",0,"Blm Diisi")))),IF(AB171="A/B/C/D/E",IF(AC171="A",1,IF(AC171="B",0.75,IF(AC171="C",0.5,IF(AC171="D",0.25,IF(AC171="E",0,"Blm Diisi"))))),IF(AB171="%",IF(AC171="","Blm Diisi",AC171),IF(AB171="Jumlah",IF(AC171="","Blm Diisi",""),IF(AB171="Rupiah",IF(AC171="","Blm Diisi",""),IF(AB171="","","-"))))))))</f>
        <v>0</v>
      </c>
      <c r="AE171" s="28"/>
      <c r="AF171" s="36"/>
      <c r="AG171"/>
      <c r="AH171"/>
      <c r="AI171" s="36"/>
      <c r="AJ171" s="28" t="s">
        <v>592</v>
      </c>
      <c r="AK171" s="28"/>
      <c r="AL171" s="28" t="str">
        <f>IF(AJ171="Ya/Tidak",IF(AK171="Ya",1,IF(AK171="Tidak",0,"Blm Diisi")),IF(AJ171="A/B/C",IF(AK171="A",1,IF(AK171="B",0.5,IF(AK171="C",0,"Blm Diisi"))),IF(AJ171="A/B/C/D",IF(AK171="A",1,IF(AK171="B",0.67,IF(AK171="C",0.33,IF(AK171="D",0,"Blm Diisi")))),IF(AJ171="A/B/C/D/E",IF(AK171="A",1,IF(AK171="B",0.75,IF(AK171="C",0.5,IF(AK171="D",0.25,IF(AK171="E",0,"Blm Diisi"))))),IF(AJ171="%",IF(AK171="","Blm Diisi",AK171),IF(AJ171="Jumlah",IF(AK171="","Blm Diisi",""),IF(AJ171="Rupiah",IF(AK171="","Blm Diisi",""),IF(AJ171="","","-"))))))))</f>
        <v>0</v>
      </c>
      <c r="AM171" s="28"/>
      <c r="AN171" s="36"/>
    </row>
    <row r="172" spans="1:40">
      <c r="A172" t="s">
        <v>590</v>
      </c>
      <c r="B172" s="23"/>
      <c r="C172" s="23"/>
      <c r="D172" s="23"/>
      <c r="E172" s="23"/>
      <c r="F172" s="23"/>
      <c r="G172" s="23" t="s">
        <v>717</v>
      </c>
      <c r="H172" s="28"/>
      <c r="I172" s="23"/>
      <c r="J172" s="28" t="s">
        <v>592</v>
      </c>
      <c r="K172" s="29">
        <v>14</v>
      </c>
      <c r="L172" s="28" t="str">
        <f>IF(J172="Ya/Tidak",IF(K172="Ya",1,IF(K172="Tidak",0,"Blm Diisi")),IF(J172="A/B/C",IF(K172="A",1,IF(K172="B",0.5,IF(K172="C",0,"Blm Diisi"))),IF(J172="A/B/C/D",IF(K172="A",1,IF(K172="B",0.67,IF(K172="C",0.33,IF(K172="D",0,"Blm Diisi")))),IF(J172="A/B/C/D/E",IF(K172="A",1,IF(K172="B",0.75,IF(K172="C",0.5,IF(K172="D",0.25,IF(K172="E",0,"Blm Diisi"))))),IF(J172="%",IF(K172="","Blm Diisi",K172),IF(J172="Jumlah",IF(K172="","Blm Diisi",""),IF(J172="Rupiah",IF(K172="","Blm Diisi",""),IF(J172="","","-"))))))))</f>
        <v>0</v>
      </c>
      <c r="M172" s="28"/>
      <c r="O172" s="30"/>
      <c r="P172" s="30"/>
      <c r="Q172" s="35"/>
      <c r="R172"/>
      <c r="S172" s="36"/>
      <c r="T172" s="28" t="s">
        <v>592</v>
      </c>
      <c r="U172" s="28">
        <v>2</v>
      </c>
      <c r="V172" s="28" t="str">
        <f>IF(T172="Ya/Tidak",IF(U172="Ya",1,IF(U172="Tidak",0,"Blm Diisi")),IF(T172="A/B/C",IF(U172="A",1,IF(U172="B",0.5,IF(U172="C",0,"Blm Diisi"))),IF(T172="A/B/C/D",IF(U172="A",1,IF(U172="B",0.67,IF(U172="C",0.33,IF(U172="D",0,"Blm Diisi")))),IF(T172="A/B/C/D/E",IF(U172="A",1,IF(U172="B",0.75,IF(U172="C",0.5,IF(U172="D",0.25,IF(U172="E",0,"Blm Diisi"))))),IF(T172="%",IF(U172="","Blm Diisi",U172),IF(T172="Jumlah",IF(U172="","Blm Diisi",""),IF(T172="Rupiah",IF(U172="","Blm Diisi",""),IF(T172="","","-"))))))))</f>
        <v>0</v>
      </c>
      <c r="W172" s="28"/>
      <c r="X172" s="36"/>
      <c r="Y172"/>
      <c r="Z172"/>
      <c r="AA172" s="36"/>
      <c r="AB172" s="28" t="s">
        <v>592</v>
      </c>
      <c r="AC172" s="28"/>
      <c r="AD172" s="28" t="str">
        <f>IF(AB172="Ya/Tidak",IF(AC172="Ya",1,IF(AC172="Tidak",0,"Blm Diisi")),IF(AB172="A/B/C",IF(AC172="A",1,IF(AC172="B",0.5,IF(AC172="C",0,"Blm Diisi"))),IF(AB172="A/B/C/D",IF(AC172="A",1,IF(AC172="B",0.67,IF(AC172="C",0.33,IF(AC172="D",0,"Blm Diisi")))),IF(AB172="A/B/C/D/E",IF(AC172="A",1,IF(AC172="B",0.75,IF(AC172="C",0.5,IF(AC172="D",0.25,IF(AC172="E",0,"Blm Diisi"))))),IF(AB172="%",IF(AC172="","Blm Diisi",AC172),IF(AB172="Jumlah",IF(AC172="","Blm Diisi",""),IF(AB172="Rupiah",IF(AC172="","Blm Diisi",""),IF(AB172="","","-"))))))))</f>
        <v>0</v>
      </c>
      <c r="AE172" s="28"/>
      <c r="AF172" s="36"/>
      <c r="AG172"/>
      <c r="AH172"/>
      <c r="AI172" s="36"/>
      <c r="AJ172" s="28" t="s">
        <v>592</v>
      </c>
      <c r="AK172" s="28"/>
      <c r="AL172" s="28" t="str">
        <f>IF(AJ172="Ya/Tidak",IF(AK172="Ya",1,IF(AK172="Tidak",0,"Blm Diisi")),IF(AJ172="A/B/C",IF(AK172="A",1,IF(AK172="B",0.5,IF(AK172="C",0,"Blm Diisi"))),IF(AJ172="A/B/C/D",IF(AK172="A",1,IF(AK172="B",0.67,IF(AK172="C",0.33,IF(AK172="D",0,"Blm Diisi")))),IF(AJ172="A/B/C/D/E",IF(AK172="A",1,IF(AK172="B",0.75,IF(AK172="C",0.5,IF(AK172="D",0.25,IF(AK172="E",0,"Blm Diisi"))))),IF(AJ172="%",IF(AK172="","Blm Diisi",AK172),IF(AJ172="Jumlah",IF(AK172="","Blm Diisi",""),IF(AJ172="Rupiah",IF(AK172="","Blm Diisi",""),IF(AJ172="","","-"))))))))</f>
        <v>0</v>
      </c>
      <c r="AM172" s="28"/>
      <c r="AN172" s="36"/>
    </row>
    <row r="173" spans="1:40">
      <c r="A173" t="s">
        <v>590</v>
      </c>
      <c r="B173" s="23"/>
      <c r="C173" s="23"/>
      <c r="D173" s="23"/>
      <c r="E173" s="23"/>
      <c r="F173" s="23"/>
      <c r="G173" s="23" t="s">
        <v>718</v>
      </c>
      <c r="H173" s="28"/>
      <c r="I173" s="23"/>
      <c r="J173" s="28" t="s">
        <v>592</v>
      </c>
      <c r="K173" s="29">
        <v>14</v>
      </c>
      <c r="L173" s="28" t="str">
        <f>IF(J173="Ya/Tidak",IF(K173="Ya",1,IF(K173="Tidak",0,"Blm Diisi")),IF(J173="A/B/C",IF(K173="A",1,IF(K173="B",0.5,IF(K173="C",0,"Blm Diisi"))),IF(J173="A/B/C/D",IF(K173="A",1,IF(K173="B",0.67,IF(K173="C",0.33,IF(K173="D",0,"Blm Diisi")))),IF(J173="A/B/C/D/E",IF(K173="A",1,IF(K173="B",0.75,IF(K173="C",0.5,IF(K173="D",0.25,IF(K173="E",0,"Blm Diisi"))))),IF(J173="%",IF(K173="","Blm Diisi",K173),IF(J173="Jumlah",IF(K173="","Blm Diisi",""),IF(J173="Rupiah",IF(K173="","Blm Diisi",""),IF(J173="","","-"))))))))</f>
        <v>0</v>
      </c>
      <c r="M173" s="28"/>
      <c r="O173" s="30"/>
      <c r="P173" s="30"/>
      <c r="Q173" s="35"/>
      <c r="R173"/>
      <c r="S173" s="36"/>
      <c r="T173" s="28" t="s">
        <v>592</v>
      </c>
      <c r="U173" s="28">
        <v>2</v>
      </c>
      <c r="V173" s="28" t="str">
        <f>IF(T173="Ya/Tidak",IF(U173="Ya",1,IF(U173="Tidak",0,"Blm Diisi")),IF(T173="A/B/C",IF(U173="A",1,IF(U173="B",0.5,IF(U173="C",0,"Blm Diisi"))),IF(T173="A/B/C/D",IF(U173="A",1,IF(U173="B",0.67,IF(U173="C",0.33,IF(U173="D",0,"Blm Diisi")))),IF(T173="A/B/C/D/E",IF(U173="A",1,IF(U173="B",0.75,IF(U173="C",0.5,IF(U173="D",0.25,IF(U173="E",0,"Blm Diisi"))))),IF(T173="%",IF(U173="","Blm Diisi",U173),IF(T173="Jumlah",IF(U173="","Blm Diisi",""),IF(T173="Rupiah",IF(U173="","Blm Diisi",""),IF(T173="","","-"))))))))</f>
        <v>0</v>
      </c>
      <c r="W173" s="28"/>
      <c r="X173" s="36"/>
      <c r="Y173"/>
      <c r="Z173"/>
      <c r="AA173" s="36"/>
      <c r="AB173" s="28" t="s">
        <v>592</v>
      </c>
      <c r="AC173" s="28"/>
      <c r="AD173" s="28" t="str">
        <f>IF(AB173="Ya/Tidak",IF(AC173="Ya",1,IF(AC173="Tidak",0,"Blm Diisi")),IF(AB173="A/B/C",IF(AC173="A",1,IF(AC173="B",0.5,IF(AC173="C",0,"Blm Diisi"))),IF(AB173="A/B/C/D",IF(AC173="A",1,IF(AC173="B",0.67,IF(AC173="C",0.33,IF(AC173="D",0,"Blm Diisi")))),IF(AB173="A/B/C/D/E",IF(AC173="A",1,IF(AC173="B",0.75,IF(AC173="C",0.5,IF(AC173="D",0.25,IF(AC173="E",0,"Blm Diisi"))))),IF(AB173="%",IF(AC173="","Blm Diisi",AC173),IF(AB173="Jumlah",IF(AC173="","Blm Diisi",""),IF(AB173="Rupiah",IF(AC173="","Blm Diisi",""),IF(AB173="","","-"))))))))</f>
        <v>0</v>
      </c>
      <c r="AE173" s="28"/>
      <c r="AF173" s="36"/>
      <c r="AG173"/>
      <c r="AH173"/>
      <c r="AI173" s="36"/>
      <c r="AJ173" s="28" t="s">
        <v>592</v>
      </c>
      <c r="AK173" s="28"/>
      <c r="AL173" s="28" t="str">
        <f>IF(AJ173="Ya/Tidak",IF(AK173="Ya",1,IF(AK173="Tidak",0,"Blm Diisi")),IF(AJ173="A/B/C",IF(AK173="A",1,IF(AK173="B",0.5,IF(AK173="C",0,"Blm Diisi"))),IF(AJ173="A/B/C/D",IF(AK173="A",1,IF(AK173="B",0.67,IF(AK173="C",0.33,IF(AK173="D",0,"Blm Diisi")))),IF(AJ173="A/B/C/D/E",IF(AK173="A",1,IF(AK173="B",0.75,IF(AK173="C",0.5,IF(AK173="D",0.25,IF(AK173="E",0,"Blm Diisi"))))),IF(AJ173="%",IF(AK173="","Blm Diisi",AK173),IF(AJ173="Jumlah",IF(AK173="","Blm Diisi",""),IF(AJ173="Rupiah",IF(AK173="","Blm Diisi",""),IF(AJ173="","","-"))))))))</f>
        <v>0</v>
      </c>
      <c r="AM173" s="28"/>
      <c r="AN173" s="36"/>
    </row>
    <row r="174" spans="1:40">
      <c r="B174" s="22"/>
      <c r="C174" s="22"/>
      <c r="D174" s="22"/>
      <c r="E174" s="22" t="s">
        <v>59</v>
      </c>
      <c r="F174" s="22" t="s">
        <v>719</v>
      </c>
      <c r="G174" s="22"/>
      <c r="H174" s="27">
        <v>2</v>
      </c>
      <c r="I174" s="22"/>
      <c r="J174" s="27" t="s">
        <v>585</v>
      </c>
      <c r="K174" s="27"/>
      <c r="L174" s="27" t="str">
        <f>AVERAGE(L175,L182)*H174</f>
        <v>0</v>
      </c>
      <c r="M174" s="27" t="str">
        <f>L174/H174</f>
        <v>0</v>
      </c>
      <c r="N174" s="1"/>
      <c r="O174" s="22"/>
      <c r="P174" s="22"/>
      <c r="Q174" s="34"/>
      <c r="R174"/>
      <c r="S174" s="36">
        <v>2</v>
      </c>
      <c r="T174" s="28" t="s">
        <v>585</v>
      </c>
      <c r="U174" s="28"/>
      <c r="V174" s="28" t="str">
        <f>AVERAGE(V175,V182)*S174</f>
        <v>0</v>
      </c>
      <c r="W174" s="28" t="str">
        <f>V174/S174</f>
        <v>0</v>
      </c>
      <c r="X174" s="36"/>
      <c r="Y174"/>
      <c r="Z174"/>
      <c r="AA174" s="36">
        <v>2</v>
      </c>
      <c r="AB174" s="28" t="s">
        <v>585</v>
      </c>
      <c r="AC174" s="28"/>
      <c r="AD174" s="28" t="str">
        <f>AVERAGE(AD175,AD182)*AA174</f>
        <v>0</v>
      </c>
      <c r="AE174" s="28" t="str">
        <f>AD174/AA174</f>
        <v>0</v>
      </c>
      <c r="AF174" s="36"/>
      <c r="AG174"/>
      <c r="AH174"/>
      <c r="AI174" s="36">
        <v>2</v>
      </c>
      <c r="AJ174" s="28" t="s">
        <v>585</v>
      </c>
      <c r="AK174" s="28"/>
      <c r="AL174" s="28" t="str">
        <f>AVERAGE(AL175,AL182)*AI174</f>
        <v>0</v>
      </c>
      <c r="AM174" s="28" t="str">
        <f>AL174/AI174</f>
        <v>0</v>
      </c>
      <c r="AN174" s="36"/>
    </row>
    <row r="175" spans="1:40">
      <c r="A175" t="s">
        <v>720</v>
      </c>
      <c r="B175" s="23"/>
      <c r="C175" s="23"/>
      <c r="D175" s="23"/>
      <c r="E175" s="23"/>
      <c r="F175" s="23" t="s">
        <v>601</v>
      </c>
      <c r="G175" s="23" t="s">
        <v>721</v>
      </c>
      <c r="H175" s="28">
        <v>1</v>
      </c>
      <c r="I175" s="23"/>
      <c r="J175" s="28"/>
      <c r="K175" s="29"/>
      <c r="L175" s="28" t="str">
        <f>AVERAGE(L176:L181)*H175</f>
        <v>0</v>
      </c>
      <c r="M175" s="28"/>
      <c r="O175" s="30"/>
      <c r="P175" s="30"/>
      <c r="Q175" s="35"/>
      <c r="R175"/>
      <c r="S175" s="36">
        <v>1</v>
      </c>
      <c r="T175" s="28"/>
      <c r="U175" s="28"/>
      <c r="V175" s="28" t="str">
        <f>AVERAGE(V176:V181)*S175</f>
        <v>0</v>
      </c>
      <c r="W175" s="28"/>
      <c r="X175" s="36"/>
      <c r="Y175"/>
      <c r="Z175"/>
      <c r="AA175" s="36">
        <v>1</v>
      </c>
      <c r="AB175" s="28"/>
      <c r="AC175" s="28"/>
      <c r="AD175" s="28" t="str">
        <f>AVERAGE(AD176:AD181)*AA175</f>
        <v>0</v>
      </c>
      <c r="AE175" s="28"/>
      <c r="AF175" s="36"/>
      <c r="AG175"/>
      <c r="AH175"/>
      <c r="AI175" s="36">
        <v>1</v>
      </c>
      <c r="AJ175" s="28"/>
      <c r="AK175" s="28"/>
      <c r="AL175" s="28" t="str">
        <f>AVERAGE(AL176:AL181)*AI175</f>
        <v>0</v>
      </c>
      <c r="AM175" s="28"/>
      <c r="AN175" s="36"/>
    </row>
    <row r="176" spans="1:40">
      <c r="A176" t="s">
        <v>582</v>
      </c>
      <c r="B176" s="23"/>
      <c r="C176" s="23"/>
      <c r="D176" s="23"/>
      <c r="E176" s="23"/>
      <c r="F176" s="23" t="s">
        <v>601</v>
      </c>
      <c r="G176" s="23" t="s">
        <v>722</v>
      </c>
      <c r="H176" s="28"/>
      <c r="I176" s="23" t="s">
        <v>723</v>
      </c>
      <c r="J176" s="28" t="s">
        <v>585</v>
      </c>
      <c r="K176" s="29" t="str">
        <f>IF(OR(K177="",K181=""),"Blm Diisi",IF(K181/K177&gt;1,1,K181/K177))</f>
        <v>0</v>
      </c>
      <c r="L176" s="28" t="str">
        <f>IF(J176="Ya/Tidak",IF(K176="Ya",1,IF(K176="Tidak",0,"Blm Diisi")),IF(J176="A/B/C",IF(K176="A",1,IF(K176="B",0.5,IF(K176="C",0,"Blm Diisi"))),IF(J176="A/B/C/D",IF(K176="A",1,IF(K176="B",0.67,IF(K176="C",0.33,IF(K176="D",0,"Blm Diisi")))),IF(J176="A/B/C/D/E",IF(K176="A",1,IF(K176="B",0.75,IF(K176="C",0.5,IF(K176="D",0.25,IF(K176="E",0,"Blm Diisi"))))),IF(J176="%",IF(K176="","Blm Diisi",K176),IF(J176="Jumlah",IF(K176="","Blm Diisi",""),IF(J176="Rupiah",IF(K176="","Blm Diisi",""),IF(J176="","","-"))))))))</f>
        <v>0</v>
      </c>
      <c r="M176" s="28"/>
      <c r="O176" s="30" t="s">
        <v>724</v>
      </c>
      <c r="P176" s="30" t="s">
        <v>725</v>
      </c>
      <c r="Q176" s="35" t="s">
        <v>726</v>
      </c>
      <c r="R176"/>
      <c r="S176" s="36"/>
      <c r="T176" s="28" t="s">
        <v>585</v>
      </c>
      <c r="U176" s="28" t="str">
        <f>IF(OR(U177="",U181=""),"Blm Diisi",IF(U181/U177&gt;1,1,U181/U177))</f>
        <v>0</v>
      </c>
      <c r="V176" s="28" t="str">
        <f>IF(T176="Ya/Tidak",IF(U176="Ya",1,IF(U176="Tidak",0,"Blm Diisi")),IF(T176="A/B/C",IF(U176="A",1,IF(U176="B",0.5,IF(U176="C",0,"Blm Diisi"))),IF(T176="A/B/C/D",IF(U176="A",1,IF(U176="B",0.67,IF(U176="C",0.33,IF(U176="D",0,"Blm Diisi")))),IF(T176="A/B/C/D/E",IF(U176="A",1,IF(U176="B",0.75,IF(U176="C",0.5,IF(U176="D",0.25,IF(U176="E",0,"Blm Diisi"))))),IF(T176="%",IF(U176="","Blm Diisi",U176),IF(T176="Jumlah",IF(U176="","Blm Diisi",""),IF(T176="Rupiah",IF(U176="","Blm Diisi",""),IF(T176="","","-"))))))))</f>
        <v>0</v>
      </c>
      <c r="W176" s="28"/>
      <c r="X176" s="36" t="s">
        <v>727</v>
      </c>
      <c r="Y176"/>
      <c r="Z176"/>
      <c r="AA176" s="36"/>
      <c r="AB176" s="28" t="s">
        <v>585</v>
      </c>
      <c r="AC176" s="28" t="str">
        <f>IF(OR(AC177="",AC181=""),"Blm Diisi",IF(AC181/AC177&gt;1,1,AC181/AC177))</f>
        <v>0</v>
      </c>
      <c r="AD176" s="28" t="str">
        <f>IF(AB176="Ya/Tidak",IF(AC176="Ya",1,IF(AC176="Tidak",0,"Blm Diisi")),IF(AB176="A/B/C",IF(AC176="A",1,IF(AC176="B",0.5,IF(AC176="C",0,"Blm Diisi"))),IF(AB176="A/B/C/D",IF(AC176="A",1,IF(AC176="B",0.67,IF(AC176="C",0.33,IF(AC176="D",0,"Blm Diisi")))),IF(AB176="A/B/C/D/E",IF(AC176="A",1,IF(AC176="B",0.75,IF(AC176="C",0.5,IF(AC176="D",0.25,IF(AC176="E",0,"Blm Diisi"))))),IF(AB176="%",IF(AC176="","Blm Diisi",AC176),IF(AB176="Jumlah",IF(AC176="","Blm Diisi",""),IF(AB176="Rupiah",IF(AC176="","Blm Diisi",""),IF(AB176="","","-"))))))))</f>
        <v>0</v>
      </c>
      <c r="AE176" s="28"/>
      <c r="AF176" s="36"/>
      <c r="AG176"/>
      <c r="AH176"/>
      <c r="AI176" s="36"/>
      <c r="AJ176" s="28" t="s">
        <v>585</v>
      </c>
      <c r="AK176" s="28" t="str">
        <f>IF(OR(AK177="",AK181=""),"Blm Diisi",IF(AK181/AK177&gt;1,1,AK181/AK177))</f>
        <v>0</v>
      </c>
      <c r="AL176" s="28" t="str">
        <f>IF(AJ176="Ya/Tidak",IF(AK176="Ya",1,IF(AK176="Tidak",0,"Blm Diisi")),IF(AJ176="A/B/C",IF(AK176="A",1,IF(AK176="B",0.5,IF(AK176="C",0,"Blm Diisi"))),IF(AJ176="A/B/C/D",IF(AK176="A",1,IF(AK176="B",0.67,IF(AK176="C",0.33,IF(AK176="D",0,"Blm Diisi")))),IF(AJ176="A/B/C/D/E",IF(AK176="A",1,IF(AK176="B",0.75,IF(AK176="C",0.5,IF(AK176="D",0.25,IF(AK176="E",0,"Blm Diisi"))))),IF(AJ176="%",IF(AK176="","Blm Diisi",AK176),IF(AJ176="Jumlah",IF(AK176="","Blm Diisi",""),IF(AJ176="Rupiah",IF(AK176="","Blm Diisi",""),IF(AJ176="","","-"))))))))</f>
        <v>0</v>
      </c>
      <c r="AM176" s="28"/>
      <c r="AN176" s="36"/>
    </row>
    <row r="177" spans="1:40">
      <c r="A177" t="s">
        <v>590</v>
      </c>
      <c r="B177" s="23"/>
      <c r="C177" s="23"/>
      <c r="D177" s="23"/>
      <c r="E177" s="23"/>
      <c r="F177" s="23"/>
      <c r="G177" s="23" t="s">
        <v>728</v>
      </c>
      <c r="H177" s="28"/>
      <c r="I177" s="23"/>
      <c r="J177" s="28" t="s">
        <v>592</v>
      </c>
      <c r="K177" s="29">
        <v>15</v>
      </c>
      <c r="L177" s="28" t="str">
        <f>IF(J177="Ya/Tidak",IF(K177="Ya",1,IF(K177="Tidak",0,"Blm Diisi")),IF(J177="A/B/C",IF(K177="A",1,IF(K177="B",0.5,IF(K177="C",0,"Blm Diisi"))),IF(J177="A/B/C/D",IF(K177="A",1,IF(K177="B",0.67,IF(K177="C",0.33,IF(K177="D",0,"Blm Diisi")))),IF(J177="A/B/C/D/E",IF(K177="A",1,IF(K177="B",0.75,IF(K177="C",0.5,IF(K177="D",0.25,IF(K177="E",0,"Blm Diisi"))))),IF(J177="%",IF(K177="","Blm Diisi",K177),IF(J177="Jumlah",IF(K177="","Blm Diisi",""),IF(J177="Rupiah",IF(K177="","Blm Diisi",""),IF(J177="","","-"))))))))</f>
        <v>0</v>
      </c>
      <c r="M177" s="28"/>
      <c r="O177" s="30"/>
      <c r="P177" s="30"/>
      <c r="Q177" s="35"/>
      <c r="R177"/>
      <c r="S177" s="36"/>
      <c r="T177" s="28" t="s">
        <v>592</v>
      </c>
      <c r="U177" s="28">
        <v>30</v>
      </c>
      <c r="V177" s="28" t="str">
        <f>IF(T177="Ya/Tidak",IF(U177="Ya",1,IF(U177="Tidak",0,"Blm Diisi")),IF(T177="A/B/C",IF(U177="A",1,IF(U177="B",0.5,IF(U177="C",0,"Blm Diisi"))),IF(T177="A/B/C/D",IF(U177="A",1,IF(U177="B",0.67,IF(U177="C",0.33,IF(U177="D",0,"Blm Diisi")))),IF(T177="A/B/C/D/E",IF(U177="A",1,IF(U177="B",0.75,IF(U177="C",0.5,IF(U177="D",0.25,IF(U177="E",0,"Blm Diisi"))))),IF(T177="%",IF(U177="","Blm Diisi",U177),IF(T177="Jumlah",IF(U177="","Blm Diisi",""),IF(T177="Rupiah",IF(U177="","Blm Diisi",""),IF(T177="","","-"))))))))</f>
        <v>0</v>
      </c>
      <c r="W177" s="28"/>
      <c r="X177" s="36"/>
      <c r="Y177"/>
      <c r="Z177"/>
      <c r="AA177" s="36"/>
      <c r="AB177" s="28" t="s">
        <v>592</v>
      </c>
      <c r="AC177" s="28" t="str">
        <f>IF(OR(AC178="",AC179="",AC180=""),"Blm Diisi",AC178+AC179+AC180)</f>
        <v>0</v>
      </c>
      <c r="AD177" s="28" t="str">
        <f>IF(AB177="Ya/Tidak",IF(AC177="Ya",1,IF(AC177="Tidak",0,"Blm Diisi")),IF(AB177="A/B/C",IF(AC177="A",1,IF(AC177="B",0.5,IF(AC177="C",0,"Blm Diisi"))),IF(AB177="A/B/C/D",IF(AC177="A",1,IF(AC177="B",0.67,IF(AC177="C",0.33,IF(AC177="D",0,"Blm Diisi")))),IF(AB177="A/B/C/D/E",IF(AC177="A",1,IF(AC177="B",0.75,IF(AC177="C",0.5,IF(AC177="D",0.25,IF(AC177="E",0,"Blm Diisi"))))),IF(AB177="%",IF(AC177="","Blm Diisi",AC177),IF(AB177="Jumlah",IF(AC177="","Blm Diisi",""),IF(AB177="Rupiah",IF(AC177="","Blm Diisi",""),IF(AB177="","","-"))))))))</f>
        <v>0</v>
      </c>
      <c r="AE177" s="28"/>
      <c r="AF177" s="36"/>
      <c r="AG177"/>
      <c r="AH177"/>
      <c r="AI177" s="36"/>
      <c r="AJ177" s="28" t="s">
        <v>592</v>
      </c>
      <c r="AK177" s="28" t="str">
        <f>IF(OR(AK178="",AK179="",AK180=""),"Blm Diisi",AK178+AK179+AK180)</f>
        <v>0</v>
      </c>
      <c r="AL177" s="28" t="str">
        <f>IF(AJ177="Ya/Tidak",IF(AK177="Ya",1,IF(AK177="Tidak",0,"Blm Diisi")),IF(AJ177="A/B/C",IF(AK177="A",1,IF(AK177="B",0.5,IF(AK177="C",0,"Blm Diisi"))),IF(AJ177="A/B/C/D",IF(AK177="A",1,IF(AK177="B",0.67,IF(AK177="C",0.33,IF(AK177="D",0,"Blm Diisi")))),IF(AJ177="A/B/C/D/E",IF(AK177="A",1,IF(AK177="B",0.75,IF(AK177="C",0.5,IF(AK177="D",0.25,IF(AK177="E",0,"Blm Diisi"))))),IF(AJ177="%",IF(AK177="","Blm Diisi",AK177),IF(AJ177="Jumlah",IF(AK177="","Blm Diisi",""),IF(AJ177="Rupiah",IF(AK177="","Blm Diisi",""),IF(AJ177="","","-"))))))))</f>
        <v>0</v>
      </c>
      <c r="AM177" s="28"/>
      <c r="AN177" s="36"/>
    </row>
    <row r="178" spans="1:40">
      <c r="A178" t="s">
        <v>590</v>
      </c>
      <c r="B178" s="23"/>
      <c r="C178" s="23"/>
      <c r="D178" s="23"/>
      <c r="E178" s="23"/>
      <c r="F178" s="23"/>
      <c r="G178" s="23" t="s">
        <v>729</v>
      </c>
      <c r="H178" s="28"/>
      <c r="I178" s="23"/>
      <c r="J178" s="28" t="s">
        <v>592</v>
      </c>
      <c r="K178" s="29">
        <v>1</v>
      </c>
      <c r="L178" s="28" t="str">
        <f>IF(J178="Ya/Tidak",IF(K178="Ya",1,IF(K178="Tidak",0,"Blm Diisi")),IF(J178="A/B/C",IF(K178="A",1,IF(K178="B",0.5,IF(K178="C",0,"Blm Diisi"))),IF(J178="A/B/C/D",IF(K178="A",1,IF(K178="B",0.67,IF(K178="C",0.33,IF(K178="D",0,"Blm Diisi")))),IF(J178="A/B/C/D/E",IF(K178="A",1,IF(K178="B",0.75,IF(K178="C",0.5,IF(K178="D",0.25,IF(K178="E",0,"Blm Diisi"))))),IF(J178="%",IF(K178="","Blm Diisi",K178),IF(J178="Jumlah",IF(K178="","Blm Diisi",""),IF(J178="Rupiah",IF(K178="","Blm Diisi",""),IF(J178="","","-"))))))))</f>
        <v>0</v>
      </c>
      <c r="M178" s="28"/>
      <c r="O178" s="30"/>
      <c r="P178" s="30"/>
      <c r="Q178" s="35"/>
      <c r="R178"/>
      <c r="S178" s="36"/>
      <c r="T178" s="28" t="s">
        <v>592</v>
      </c>
      <c r="U178" s="28">
        <v>15</v>
      </c>
      <c r="V178" s="28" t="str">
        <f>IF(T178="Ya/Tidak",IF(U178="Ya",1,IF(U178="Tidak",0,"Blm Diisi")),IF(T178="A/B/C",IF(U178="A",1,IF(U178="B",0.5,IF(U178="C",0,"Blm Diisi"))),IF(T178="A/B/C/D",IF(U178="A",1,IF(U178="B",0.67,IF(U178="C",0.33,IF(U178="D",0,"Blm Diisi")))),IF(T178="A/B/C/D/E",IF(U178="A",1,IF(U178="B",0.75,IF(U178="C",0.5,IF(U178="D",0.25,IF(U178="E",0,"Blm Diisi"))))),IF(T178="%",IF(U178="","Blm Diisi",U178),IF(T178="Jumlah",IF(U178="","Blm Diisi",""),IF(T178="Rupiah",IF(U178="","Blm Diisi",""),IF(T178="","","-"))))))))</f>
        <v>0</v>
      </c>
      <c r="W178" s="28"/>
      <c r="X178" s="36"/>
      <c r="Y178"/>
      <c r="Z178"/>
      <c r="AA178" s="36"/>
      <c r="AB178" s="28" t="s">
        <v>592</v>
      </c>
      <c r="AC178" s="28"/>
      <c r="AD178" s="28" t="str">
        <f>IF(AB178="Ya/Tidak",IF(AC178="Ya",1,IF(AC178="Tidak",0,"Blm Diisi")),IF(AB178="A/B/C",IF(AC178="A",1,IF(AC178="B",0.5,IF(AC178="C",0,"Blm Diisi"))),IF(AB178="A/B/C/D",IF(AC178="A",1,IF(AC178="B",0.67,IF(AC178="C",0.33,IF(AC178="D",0,"Blm Diisi")))),IF(AB178="A/B/C/D/E",IF(AC178="A",1,IF(AC178="B",0.75,IF(AC178="C",0.5,IF(AC178="D",0.25,IF(AC178="E",0,"Blm Diisi"))))),IF(AB178="%",IF(AC178="","Blm Diisi",AC178),IF(AB178="Jumlah",IF(AC178="","Blm Diisi",""),IF(AB178="Rupiah",IF(AC178="","Blm Diisi",""),IF(AB178="","","-"))))))))</f>
        <v>0</v>
      </c>
      <c r="AE178" s="28"/>
      <c r="AF178" s="36"/>
      <c r="AG178"/>
      <c r="AH178"/>
      <c r="AI178" s="36"/>
      <c r="AJ178" s="28" t="s">
        <v>592</v>
      </c>
      <c r="AK178" s="28"/>
      <c r="AL178" s="28" t="str">
        <f>IF(AJ178="Ya/Tidak",IF(AK178="Ya",1,IF(AK178="Tidak",0,"Blm Diisi")),IF(AJ178="A/B/C",IF(AK178="A",1,IF(AK178="B",0.5,IF(AK178="C",0,"Blm Diisi"))),IF(AJ178="A/B/C/D",IF(AK178="A",1,IF(AK178="B",0.67,IF(AK178="C",0.33,IF(AK178="D",0,"Blm Diisi")))),IF(AJ178="A/B/C/D/E",IF(AK178="A",1,IF(AK178="B",0.75,IF(AK178="C",0.5,IF(AK178="D",0.25,IF(AK178="E",0,"Blm Diisi"))))),IF(AJ178="%",IF(AK178="","Blm Diisi",AK178),IF(AJ178="Jumlah",IF(AK178="","Blm Diisi",""),IF(AJ178="Rupiah",IF(AK178="","Blm Diisi",""),IF(AJ178="","","-"))))))))</f>
        <v>0</v>
      </c>
      <c r="AM178" s="28"/>
      <c r="AN178" s="36"/>
    </row>
    <row r="179" spans="1:40">
      <c r="A179" t="s">
        <v>590</v>
      </c>
      <c r="B179" s="23"/>
      <c r="C179" s="23"/>
      <c r="D179" s="23"/>
      <c r="E179" s="23"/>
      <c r="F179" s="23"/>
      <c r="G179" s="23" t="s">
        <v>730</v>
      </c>
      <c r="H179" s="28"/>
      <c r="I179" s="23"/>
      <c r="J179" s="28" t="s">
        <v>592</v>
      </c>
      <c r="K179" s="29">
        <v>14</v>
      </c>
      <c r="L179" s="28" t="str">
        <f>IF(J179="Ya/Tidak",IF(K179="Ya",1,IF(K179="Tidak",0,"Blm Diisi")),IF(J179="A/B/C",IF(K179="A",1,IF(K179="B",0.5,IF(K179="C",0,"Blm Diisi"))),IF(J179="A/B/C/D",IF(K179="A",1,IF(K179="B",0.67,IF(K179="C",0.33,IF(K179="D",0,"Blm Diisi")))),IF(J179="A/B/C/D/E",IF(K179="A",1,IF(K179="B",0.75,IF(K179="C",0.5,IF(K179="D",0.25,IF(K179="E",0,"Blm Diisi"))))),IF(J179="%",IF(K179="","Blm Diisi",K179),IF(J179="Jumlah",IF(K179="","Blm Diisi",""),IF(J179="Rupiah",IF(K179="","Blm Diisi",""),IF(J179="","","-"))))))))</f>
        <v>0</v>
      </c>
      <c r="M179" s="28"/>
      <c r="O179" s="30"/>
      <c r="P179" s="30"/>
      <c r="Q179" s="35"/>
      <c r="R179"/>
      <c r="S179" s="36"/>
      <c r="T179" s="28" t="s">
        <v>592</v>
      </c>
      <c r="U179" s="28">
        <v>15</v>
      </c>
      <c r="V179" s="28" t="str">
        <f>IF(T179="Ya/Tidak",IF(U179="Ya",1,IF(U179="Tidak",0,"Blm Diisi")),IF(T179="A/B/C",IF(U179="A",1,IF(U179="B",0.5,IF(U179="C",0,"Blm Diisi"))),IF(T179="A/B/C/D",IF(U179="A",1,IF(U179="B",0.67,IF(U179="C",0.33,IF(U179="D",0,"Blm Diisi")))),IF(T179="A/B/C/D/E",IF(U179="A",1,IF(U179="B",0.75,IF(U179="C",0.5,IF(U179="D",0.25,IF(U179="E",0,"Blm Diisi"))))),IF(T179="%",IF(U179="","Blm Diisi",U179),IF(T179="Jumlah",IF(U179="","Blm Diisi",""),IF(T179="Rupiah",IF(U179="","Blm Diisi",""),IF(T179="","","-"))))))))</f>
        <v>0</v>
      </c>
      <c r="W179" s="28"/>
      <c r="X179" s="36"/>
      <c r="Y179"/>
      <c r="Z179"/>
      <c r="AA179" s="36"/>
      <c r="AB179" s="28" t="s">
        <v>592</v>
      </c>
      <c r="AC179" s="28"/>
      <c r="AD179" s="28" t="str">
        <f>IF(AB179="Ya/Tidak",IF(AC179="Ya",1,IF(AC179="Tidak",0,"Blm Diisi")),IF(AB179="A/B/C",IF(AC179="A",1,IF(AC179="B",0.5,IF(AC179="C",0,"Blm Diisi"))),IF(AB179="A/B/C/D",IF(AC179="A",1,IF(AC179="B",0.67,IF(AC179="C",0.33,IF(AC179="D",0,"Blm Diisi")))),IF(AB179="A/B/C/D/E",IF(AC179="A",1,IF(AC179="B",0.75,IF(AC179="C",0.5,IF(AC179="D",0.25,IF(AC179="E",0,"Blm Diisi"))))),IF(AB179="%",IF(AC179="","Blm Diisi",AC179),IF(AB179="Jumlah",IF(AC179="","Blm Diisi",""),IF(AB179="Rupiah",IF(AC179="","Blm Diisi",""),IF(AB179="","","-"))))))))</f>
        <v>0</v>
      </c>
      <c r="AE179" s="28"/>
      <c r="AF179" s="36"/>
      <c r="AG179"/>
      <c r="AH179"/>
      <c r="AI179" s="36"/>
      <c r="AJ179" s="28" t="s">
        <v>592</v>
      </c>
      <c r="AK179" s="28"/>
      <c r="AL179" s="28" t="str">
        <f>IF(AJ179="Ya/Tidak",IF(AK179="Ya",1,IF(AK179="Tidak",0,"Blm Diisi")),IF(AJ179="A/B/C",IF(AK179="A",1,IF(AK179="B",0.5,IF(AK179="C",0,"Blm Diisi"))),IF(AJ179="A/B/C/D",IF(AK179="A",1,IF(AK179="B",0.67,IF(AK179="C",0.33,IF(AK179="D",0,"Blm Diisi")))),IF(AJ179="A/B/C/D/E",IF(AK179="A",1,IF(AK179="B",0.75,IF(AK179="C",0.5,IF(AK179="D",0.25,IF(AK179="E",0,"Blm Diisi"))))),IF(AJ179="%",IF(AK179="","Blm Diisi",AK179),IF(AJ179="Jumlah",IF(AK179="","Blm Diisi",""),IF(AJ179="Rupiah",IF(AK179="","Blm Diisi",""),IF(AJ179="","","-"))))))))</f>
        <v>0</v>
      </c>
      <c r="AM179" s="28"/>
      <c r="AN179" s="36"/>
    </row>
    <row r="180" spans="1:40">
      <c r="A180" t="s">
        <v>590</v>
      </c>
      <c r="B180" s="23"/>
      <c r="C180" s="23"/>
      <c r="D180" s="23"/>
      <c r="E180" s="23"/>
      <c r="F180" s="23"/>
      <c r="G180" s="23" t="s">
        <v>731</v>
      </c>
      <c r="H180" s="28"/>
      <c r="I180" s="23"/>
      <c r="J180" s="28" t="s">
        <v>592</v>
      </c>
      <c r="K180" s="29">
        <v>0</v>
      </c>
      <c r="L180" s="28" t="str">
        <f>IF(J180="Ya/Tidak",IF(K180="Ya",1,IF(K180="Tidak",0,"Blm Diisi")),IF(J180="A/B/C",IF(K180="A",1,IF(K180="B",0.5,IF(K180="C",0,"Blm Diisi"))),IF(J180="A/B/C/D",IF(K180="A",1,IF(K180="B",0.67,IF(K180="C",0.33,IF(K180="D",0,"Blm Diisi")))),IF(J180="A/B/C/D/E",IF(K180="A",1,IF(K180="B",0.75,IF(K180="C",0.5,IF(K180="D",0.25,IF(K180="E",0,"Blm Diisi"))))),IF(J180="%",IF(K180="","Blm Diisi",K180),IF(J180="Jumlah",IF(K180="","Blm Diisi",""),IF(J180="Rupiah",IF(K180="","Blm Diisi",""),IF(J180="","","-"))))))))</f>
        <v>0</v>
      </c>
      <c r="M180" s="28"/>
      <c r="O180" s="30"/>
      <c r="P180" s="30"/>
      <c r="Q180" s="35"/>
      <c r="R180"/>
      <c r="S180" s="36"/>
      <c r="T180" s="28" t="s">
        <v>592</v>
      </c>
      <c r="U180" s="28">
        <v>0</v>
      </c>
      <c r="V180" s="28" t="str">
        <f>IF(T180="Ya/Tidak",IF(U180="Ya",1,IF(U180="Tidak",0,"Blm Diisi")),IF(T180="A/B/C",IF(U180="A",1,IF(U180="B",0.5,IF(U180="C",0,"Blm Diisi"))),IF(T180="A/B/C/D",IF(U180="A",1,IF(U180="B",0.67,IF(U180="C",0.33,IF(U180="D",0,"Blm Diisi")))),IF(T180="A/B/C/D/E",IF(U180="A",1,IF(U180="B",0.75,IF(U180="C",0.5,IF(U180="D",0.25,IF(U180="E",0,"Blm Diisi"))))),IF(T180="%",IF(U180="","Blm Diisi",U180),IF(T180="Jumlah",IF(U180="","Blm Diisi",""),IF(T180="Rupiah",IF(U180="","Blm Diisi",""),IF(T180="","","-"))))))))</f>
        <v>0</v>
      </c>
      <c r="W180" s="28"/>
      <c r="X180" s="36"/>
      <c r="Y180"/>
      <c r="Z180"/>
      <c r="AA180" s="36"/>
      <c r="AB180" s="28" t="s">
        <v>592</v>
      </c>
      <c r="AC180" s="28"/>
      <c r="AD180" s="28" t="str">
        <f>IF(AB180="Ya/Tidak",IF(AC180="Ya",1,IF(AC180="Tidak",0,"Blm Diisi")),IF(AB180="A/B/C",IF(AC180="A",1,IF(AC180="B",0.5,IF(AC180="C",0,"Blm Diisi"))),IF(AB180="A/B/C/D",IF(AC180="A",1,IF(AC180="B",0.67,IF(AC180="C",0.33,IF(AC180="D",0,"Blm Diisi")))),IF(AB180="A/B/C/D/E",IF(AC180="A",1,IF(AC180="B",0.75,IF(AC180="C",0.5,IF(AC180="D",0.25,IF(AC180="E",0,"Blm Diisi"))))),IF(AB180="%",IF(AC180="","Blm Diisi",AC180),IF(AB180="Jumlah",IF(AC180="","Blm Diisi",""),IF(AB180="Rupiah",IF(AC180="","Blm Diisi",""),IF(AB180="","","-"))))))))</f>
        <v>0</v>
      </c>
      <c r="AE180" s="28"/>
      <c r="AF180" s="36"/>
      <c r="AG180"/>
      <c r="AH180"/>
      <c r="AI180" s="36"/>
      <c r="AJ180" s="28" t="s">
        <v>592</v>
      </c>
      <c r="AK180" s="28"/>
      <c r="AL180" s="28" t="str">
        <f>IF(AJ180="Ya/Tidak",IF(AK180="Ya",1,IF(AK180="Tidak",0,"Blm Diisi")),IF(AJ180="A/B/C",IF(AK180="A",1,IF(AK180="B",0.5,IF(AK180="C",0,"Blm Diisi"))),IF(AJ180="A/B/C/D",IF(AK180="A",1,IF(AK180="B",0.67,IF(AK180="C",0.33,IF(AK180="D",0,"Blm Diisi")))),IF(AJ180="A/B/C/D/E",IF(AK180="A",1,IF(AK180="B",0.75,IF(AK180="C",0.5,IF(AK180="D",0.25,IF(AK180="E",0,"Blm Diisi"))))),IF(AJ180="%",IF(AK180="","Blm Diisi",AK180),IF(AJ180="Jumlah",IF(AK180="","Blm Diisi",""),IF(AJ180="Rupiah",IF(AK180="","Blm Diisi",""),IF(AJ180="","","-"))))))))</f>
        <v>0</v>
      </c>
      <c r="AM180" s="28"/>
      <c r="AN180" s="36"/>
    </row>
    <row r="181" spans="1:40">
      <c r="A181" t="s">
        <v>590</v>
      </c>
      <c r="B181" s="23"/>
      <c r="C181" s="23"/>
      <c r="D181" s="23"/>
      <c r="E181" s="23"/>
      <c r="F181" s="23"/>
      <c r="G181" s="23" t="s">
        <v>732</v>
      </c>
      <c r="H181" s="28"/>
      <c r="I181" s="23"/>
      <c r="J181" s="28" t="s">
        <v>592</v>
      </c>
      <c r="K181" s="29">
        <v>15</v>
      </c>
      <c r="L181" s="28" t="str">
        <f>IF(J181="Ya/Tidak",IF(K181="Ya",1,IF(K181="Tidak",0,"Blm Diisi")),IF(J181="A/B/C",IF(K181="A",1,IF(K181="B",0.5,IF(K181="C",0,"Blm Diisi"))),IF(J181="A/B/C/D",IF(K181="A",1,IF(K181="B",0.67,IF(K181="C",0.33,IF(K181="D",0,"Blm Diisi")))),IF(J181="A/B/C/D/E",IF(K181="A",1,IF(K181="B",0.75,IF(K181="C",0.5,IF(K181="D",0.25,IF(K181="E",0,"Blm Diisi"))))),IF(J181="%",IF(K181="","Blm Diisi",K181),IF(J181="Jumlah",IF(K181="","Blm Diisi",""),IF(J181="Rupiah",IF(K181="","Blm Diisi",""),IF(J181="","","-"))))))))</f>
        <v>0</v>
      </c>
      <c r="M181" s="28"/>
      <c r="O181" s="30"/>
      <c r="P181" s="30"/>
      <c r="Q181" s="35"/>
      <c r="R181"/>
      <c r="S181" s="36"/>
      <c r="T181" s="28" t="s">
        <v>592</v>
      </c>
      <c r="U181" s="28">
        <v>10</v>
      </c>
      <c r="V181" s="28" t="str">
        <f>IF(T181="Ya/Tidak",IF(U181="Ya",1,IF(U181="Tidak",0,"Blm Diisi")),IF(T181="A/B/C",IF(U181="A",1,IF(U181="B",0.5,IF(U181="C",0,"Blm Diisi"))),IF(T181="A/B/C/D",IF(U181="A",1,IF(U181="B",0.67,IF(U181="C",0.33,IF(U181="D",0,"Blm Diisi")))),IF(T181="A/B/C/D/E",IF(U181="A",1,IF(U181="B",0.75,IF(U181="C",0.5,IF(U181="D",0.25,IF(U181="E",0,"Blm Diisi"))))),IF(T181="%",IF(U181="","Blm Diisi",U181),IF(T181="Jumlah",IF(U181="","Blm Diisi",""),IF(T181="Rupiah",IF(U181="","Blm Diisi",""),IF(T181="","","-"))))))))</f>
        <v>0</v>
      </c>
      <c r="W181" s="28"/>
      <c r="X181" s="36"/>
      <c r="Y181"/>
      <c r="Z181"/>
      <c r="AA181" s="36"/>
      <c r="AB181" s="28" t="s">
        <v>592</v>
      </c>
      <c r="AC181" s="28"/>
      <c r="AD181" s="28" t="str">
        <f>IF(AB181="Ya/Tidak",IF(AC181="Ya",1,IF(AC181="Tidak",0,"Blm Diisi")),IF(AB181="A/B/C",IF(AC181="A",1,IF(AC181="B",0.5,IF(AC181="C",0,"Blm Diisi"))),IF(AB181="A/B/C/D",IF(AC181="A",1,IF(AC181="B",0.67,IF(AC181="C",0.33,IF(AC181="D",0,"Blm Diisi")))),IF(AB181="A/B/C/D/E",IF(AC181="A",1,IF(AC181="B",0.75,IF(AC181="C",0.5,IF(AC181="D",0.25,IF(AC181="E",0,"Blm Diisi"))))),IF(AB181="%",IF(AC181="","Blm Diisi",AC181),IF(AB181="Jumlah",IF(AC181="","Blm Diisi",""),IF(AB181="Rupiah",IF(AC181="","Blm Diisi",""),IF(AB181="","","-"))))))))</f>
        <v>0</v>
      </c>
      <c r="AE181" s="28"/>
      <c r="AF181" s="36"/>
      <c r="AG181"/>
      <c r="AH181"/>
      <c r="AI181" s="36"/>
      <c r="AJ181" s="28" t="s">
        <v>592</v>
      </c>
      <c r="AK181" s="28"/>
      <c r="AL181" s="28" t="str">
        <f>IF(AJ181="Ya/Tidak",IF(AK181="Ya",1,IF(AK181="Tidak",0,"Blm Diisi")),IF(AJ181="A/B/C",IF(AK181="A",1,IF(AK181="B",0.5,IF(AK181="C",0,"Blm Diisi"))),IF(AJ181="A/B/C/D",IF(AK181="A",1,IF(AK181="B",0.67,IF(AK181="C",0.33,IF(AK181="D",0,"Blm Diisi")))),IF(AJ181="A/B/C/D/E",IF(AK181="A",1,IF(AK181="B",0.75,IF(AK181="C",0.5,IF(AK181="D",0.25,IF(AK181="E",0,"Blm Diisi"))))),IF(AJ181="%",IF(AK181="","Blm Diisi",AK181),IF(AJ181="Jumlah",IF(AK181="","Blm Diisi",""),IF(AJ181="Rupiah",IF(AK181="","Blm Diisi",""),IF(AJ181="","","-"))))))))</f>
        <v>0</v>
      </c>
      <c r="AM181" s="28"/>
      <c r="AN181" s="36"/>
    </row>
    <row r="182" spans="1:40">
      <c r="A182" t="s">
        <v>720</v>
      </c>
      <c r="B182" s="23"/>
      <c r="C182" s="23"/>
      <c r="D182" s="23"/>
      <c r="E182" s="23"/>
      <c r="F182" s="23" t="s">
        <v>601</v>
      </c>
      <c r="G182" s="23" t="s">
        <v>733</v>
      </c>
      <c r="H182" s="28">
        <v>1</v>
      </c>
      <c r="I182" s="23"/>
      <c r="J182" s="28"/>
      <c r="K182" s="29"/>
      <c r="L182" s="28" t="str">
        <f>AVERAGE(L183:L188)*H182</f>
        <v>0</v>
      </c>
      <c r="M182" s="28"/>
      <c r="O182" s="30"/>
      <c r="P182" s="30"/>
      <c r="Q182" s="35"/>
      <c r="R182"/>
      <c r="S182" s="36">
        <v>1</v>
      </c>
      <c r="T182" s="28"/>
      <c r="U182" s="28"/>
      <c r="V182" s="28" t="str">
        <f>AVERAGE(V183:V188)*S182</f>
        <v>0</v>
      </c>
      <c r="W182" s="28"/>
      <c r="X182" s="36"/>
      <c r="Y182"/>
      <c r="Z182"/>
      <c r="AA182" s="36">
        <v>1</v>
      </c>
      <c r="AB182" s="28"/>
      <c r="AC182" s="28"/>
      <c r="AD182" s="28" t="str">
        <f>AVERAGE(AD183:AD188)*AA182</f>
        <v>0</v>
      </c>
      <c r="AE182" s="28"/>
      <c r="AF182" s="36"/>
      <c r="AG182"/>
      <c r="AH182"/>
      <c r="AI182" s="36">
        <v>1</v>
      </c>
      <c r="AJ182" s="28"/>
      <c r="AK182" s="28"/>
      <c r="AL182" s="28" t="str">
        <f>AVERAGE(AL183:AL188)*AI182</f>
        <v>0</v>
      </c>
      <c r="AM182" s="28"/>
      <c r="AN182" s="36"/>
    </row>
    <row r="183" spans="1:40">
      <c r="A183" t="s">
        <v>582</v>
      </c>
      <c r="B183" s="23"/>
      <c r="C183" s="23"/>
      <c r="D183" s="23"/>
      <c r="E183" s="23"/>
      <c r="F183" s="23" t="s">
        <v>601</v>
      </c>
      <c r="G183" s="23" t="s">
        <v>734</v>
      </c>
      <c r="H183" s="28"/>
      <c r="I183" s="23" t="s">
        <v>735</v>
      </c>
      <c r="J183" s="28" t="s">
        <v>585</v>
      </c>
      <c r="K183" s="29" t="str">
        <f>IF(OR(K184="",K188=""),"Blm Diisi",IF(K188/K184&gt;1,1,K188/K184))</f>
        <v>0</v>
      </c>
      <c r="L183" s="28" t="str">
        <f>IF(J183="Ya/Tidak",IF(K183="Ya",1,IF(K183="Tidak",0,"Blm Diisi")),IF(J183="A/B/C",IF(K183="A",1,IF(K183="B",0.5,IF(K183="C",0,"Blm Diisi"))),IF(J183="A/B/C/D",IF(K183="A",1,IF(K183="B",0.67,IF(K183="C",0.33,IF(K183="D",0,"Blm Diisi")))),IF(J183="A/B/C/D/E",IF(K183="A",1,IF(K183="B",0.75,IF(K183="C",0.5,IF(K183="D",0.25,IF(K183="E",0,"Blm Diisi"))))),IF(J183="%",IF(K183="","Blm Diisi",K183),IF(J183="Jumlah",IF(K183="","Blm Diisi",""),IF(J183="Rupiah",IF(K183="","Blm Diisi",""),IF(J183="","","-"))))))))</f>
        <v>0</v>
      </c>
      <c r="M183" s="28"/>
      <c r="O183" s="30" t="s">
        <v>736</v>
      </c>
      <c r="P183" s="30" t="s">
        <v>737</v>
      </c>
      <c r="Q183" s="35" t="s">
        <v>738</v>
      </c>
      <c r="R183"/>
      <c r="S183" s="36"/>
      <c r="T183" s="28" t="s">
        <v>585</v>
      </c>
      <c r="U183" s="28" t="str">
        <f>IF(OR(U184="",U188=""),"Blm Diisi",IF(U188/U184&gt;1,1,U188/U184))</f>
        <v>0</v>
      </c>
      <c r="V183" s="28" t="str">
        <f>IF(T183="Ya/Tidak",IF(U183="Ya",1,IF(U183="Tidak",0,"Blm Diisi")),IF(T183="A/B/C",IF(U183="A",1,IF(U183="B",0.5,IF(U183="C",0,"Blm Diisi"))),IF(T183="A/B/C/D",IF(U183="A",1,IF(U183="B",0.67,IF(U183="C",0.33,IF(U183="D",0,"Blm Diisi")))),IF(T183="A/B/C/D/E",IF(U183="A",1,IF(U183="B",0.75,IF(U183="C",0.5,IF(U183="D",0.25,IF(U183="E",0,"Blm Diisi"))))),IF(T183="%",IF(U183="","Blm Diisi",U183),IF(T183="Jumlah",IF(U183="","Blm Diisi",""),IF(T183="Rupiah",IF(U183="","Blm Diisi",""),IF(T183="","","-"))))))))</f>
        <v>0</v>
      </c>
      <c r="W183" s="28"/>
      <c r="X183" s="36" t="s">
        <v>739</v>
      </c>
      <c r="Y183"/>
      <c r="Z183"/>
      <c r="AA183" s="36"/>
      <c r="AB183" s="28" t="s">
        <v>585</v>
      </c>
      <c r="AC183" s="28" t="str">
        <f>IF(OR(AC184="",AC188=""),"Blm Diisi",IF(AC188/AC184&gt;1,1,AC188/AC184))</f>
        <v>0</v>
      </c>
      <c r="AD183" s="28" t="str">
        <f>IF(AB183="Ya/Tidak",IF(AC183="Ya",1,IF(AC183="Tidak",0,"Blm Diisi")),IF(AB183="A/B/C",IF(AC183="A",1,IF(AC183="B",0.5,IF(AC183="C",0,"Blm Diisi"))),IF(AB183="A/B/C/D",IF(AC183="A",1,IF(AC183="B",0.67,IF(AC183="C",0.33,IF(AC183="D",0,"Blm Diisi")))),IF(AB183="A/B/C/D/E",IF(AC183="A",1,IF(AC183="B",0.75,IF(AC183="C",0.5,IF(AC183="D",0.25,IF(AC183="E",0,"Blm Diisi"))))),IF(AB183="%",IF(AC183="","Blm Diisi",AC183),IF(AB183="Jumlah",IF(AC183="","Blm Diisi",""),IF(AB183="Rupiah",IF(AC183="","Blm Diisi",""),IF(AB183="","","-"))))))))</f>
        <v>0</v>
      </c>
      <c r="AE183" s="28"/>
      <c r="AF183" s="36"/>
      <c r="AG183"/>
      <c r="AH183"/>
      <c r="AI183" s="36"/>
      <c r="AJ183" s="28" t="s">
        <v>585</v>
      </c>
      <c r="AK183" s="28" t="str">
        <f>IF(OR(AK184="",AK188=""),"Blm Diisi",IF(AK188/AK184&gt;1,1,AK188/AK184))</f>
        <v>0</v>
      </c>
      <c r="AL183" s="28" t="str">
        <f>IF(AJ183="Ya/Tidak",IF(AK183="Ya",1,IF(AK183="Tidak",0,"Blm Diisi")),IF(AJ183="A/B/C",IF(AK183="A",1,IF(AK183="B",0.5,IF(AK183="C",0,"Blm Diisi"))),IF(AJ183="A/B/C/D",IF(AK183="A",1,IF(AK183="B",0.67,IF(AK183="C",0.33,IF(AK183="D",0,"Blm Diisi")))),IF(AJ183="A/B/C/D/E",IF(AK183="A",1,IF(AK183="B",0.75,IF(AK183="C",0.5,IF(AK183="D",0.25,IF(AK183="E",0,"Blm Diisi"))))),IF(AJ183="%",IF(AK183="","Blm Diisi",AK183),IF(AJ183="Jumlah",IF(AK183="","Blm Diisi",""),IF(AJ183="Rupiah",IF(AK183="","Blm Diisi",""),IF(AJ183="","","-"))))))))</f>
        <v>0</v>
      </c>
      <c r="AM183" s="28"/>
      <c r="AN183" s="36"/>
    </row>
    <row r="184" spans="1:40">
      <c r="A184" t="s">
        <v>590</v>
      </c>
      <c r="B184" s="23"/>
      <c r="C184" s="23"/>
      <c r="D184" s="23"/>
      <c r="E184" s="23"/>
      <c r="F184" s="23"/>
      <c r="G184" s="23" t="s">
        <v>740</v>
      </c>
      <c r="H184" s="28"/>
      <c r="I184" s="23"/>
      <c r="J184" s="28" t="s">
        <v>592</v>
      </c>
      <c r="K184" s="29">
        <v>175</v>
      </c>
      <c r="L184" s="28" t="str">
        <f>IF(J184="Ya/Tidak",IF(K184="Ya",1,IF(K184="Tidak",0,"Blm Diisi")),IF(J184="A/B/C",IF(K184="A",1,IF(K184="B",0.5,IF(K184="C",0,"Blm Diisi"))),IF(J184="A/B/C/D",IF(K184="A",1,IF(K184="B",0.67,IF(K184="C",0.33,IF(K184="D",0,"Blm Diisi")))),IF(J184="A/B/C/D/E",IF(K184="A",1,IF(K184="B",0.75,IF(K184="C",0.5,IF(K184="D",0.25,IF(K184="E",0,"Blm Diisi"))))),IF(J184="%",IF(K184="","Blm Diisi",K184),IF(J184="Jumlah",IF(K184="","Blm Diisi",""),IF(J184="Rupiah",IF(K184="","Blm Diisi",""),IF(J184="","","-"))))))))</f>
        <v>0</v>
      </c>
      <c r="M184" s="28"/>
      <c r="O184" s="30"/>
      <c r="P184" s="30"/>
      <c r="Q184" s="35"/>
      <c r="R184"/>
      <c r="S184" s="36"/>
      <c r="T184" s="28" t="s">
        <v>592</v>
      </c>
      <c r="U184" s="28" t="str">
        <f>IF(OR(U185="",U186="",U187=""),"Blm Diisi",U185+U186+U187)</f>
        <v>0</v>
      </c>
      <c r="V184" s="28" t="str">
        <f>IF(T184="Ya/Tidak",IF(U184="Ya",1,IF(U184="Tidak",0,"Blm Diisi")),IF(T184="A/B/C",IF(U184="A",1,IF(U184="B",0.5,IF(U184="C",0,"Blm Diisi"))),IF(T184="A/B/C/D",IF(U184="A",1,IF(U184="B",0.67,IF(U184="C",0.33,IF(U184="D",0,"Blm Diisi")))),IF(T184="A/B/C/D/E",IF(U184="A",1,IF(U184="B",0.75,IF(U184="C",0.5,IF(U184="D",0.25,IF(U184="E",0,"Blm Diisi"))))),IF(T184="%",IF(U184="","Blm Diisi",U184),IF(T184="Jumlah",IF(U184="","Blm Diisi",""),IF(T184="Rupiah",IF(U184="","Blm Diisi",""),IF(T184="","","-"))))))))</f>
        <v>0</v>
      </c>
      <c r="W184" s="28"/>
      <c r="X184" s="36"/>
      <c r="Y184"/>
      <c r="Z184"/>
      <c r="AA184" s="36"/>
      <c r="AB184" s="28" t="s">
        <v>592</v>
      </c>
      <c r="AC184" s="28" t="str">
        <f>IF(OR(AC185="",AC186="",AC187=""),"Blm Diisi",AC185+AC186+AC187)</f>
        <v>0</v>
      </c>
      <c r="AD184" s="28" t="str">
        <f>IF(AB184="Ya/Tidak",IF(AC184="Ya",1,IF(AC184="Tidak",0,"Blm Diisi")),IF(AB184="A/B/C",IF(AC184="A",1,IF(AC184="B",0.5,IF(AC184="C",0,"Blm Diisi"))),IF(AB184="A/B/C/D",IF(AC184="A",1,IF(AC184="B",0.67,IF(AC184="C",0.33,IF(AC184="D",0,"Blm Diisi")))),IF(AB184="A/B/C/D/E",IF(AC184="A",1,IF(AC184="B",0.75,IF(AC184="C",0.5,IF(AC184="D",0.25,IF(AC184="E",0,"Blm Diisi"))))),IF(AB184="%",IF(AC184="","Blm Diisi",AC184),IF(AB184="Jumlah",IF(AC184="","Blm Diisi",""),IF(AB184="Rupiah",IF(AC184="","Blm Diisi",""),IF(AB184="","","-"))))))))</f>
        <v>0</v>
      </c>
      <c r="AE184" s="28"/>
      <c r="AF184" s="36"/>
      <c r="AG184"/>
      <c r="AH184"/>
      <c r="AI184" s="36"/>
      <c r="AJ184" s="28" t="s">
        <v>592</v>
      </c>
      <c r="AK184" s="28" t="str">
        <f>IF(OR(AK185="",AK186="",AK187=""),"Blm Diisi",AK185+AK186+AK187)</f>
        <v>0</v>
      </c>
      <c r="AL184" s="28" t="str">
        <f>IF(AJ184="Ya/Tidak",IF(AK184="Ya",1,IF(AK184="Tidak",0,"Blm Diisi")),IF(AJ184="A/B/C",IF(AK184="A",1,IF(AK184="B",0.5,IF(AK184="C",0,"Blm Diisi"))),IF(AJ184="A/B/C/D",IF(AK184="A",1,IF(AK184="B",0.67,IF(AK184="C",0.33,IF(AK184="D",0,"Blm Diisi")))),IF(AJ184="A/B/C/D/E",IF(AK184="A",1,IF(AK184="B",0.75,IF(AK184="C",0.5,IF(AK184="D",0.25,IF(AK184="E",0,"Blm Diisi"))))),IF(AJ184="%",IF(AK184="","Blm Diisi",AK184),IF(AJ184="Jumlah",IF(AK184="","Blm Diisi",""),IF(AJ184="Rupiah",IF(AK184="","Blm Diisi",""),IF(AJ184="","","-"))))))))</f>
        <v>0</v>
      </c>
      <c r="AM184" s="28"/>
      <c r="AN184" s="36"/>
    </row>
    <row r="185" spans="1:40">
      <c r="A185" t="s">
        <v>590</v>
      </c>
      <c r="B185" s="23"/>
      <c r="C185" s="23"/>
      <c r="D185" s="23"/>
      <c r="E185" s="23"/>
      <c r="F185" s="23"/>
      <c r="G185" s="23" t="s">
        <v>741</v>
      </c>
      <c r="H185" s="28"/>
      <c r="I185" s="23"/>
      <c r="J185" s="28" t="s">
        <v>592</v>
      </c>
      <c r="K185" s="29">
        <v>109</v>
      </c>
      <c r="L185" s="28" t="str">
        <f>IF(J185="Ya/Tidak",IF(K185="Ya",1,IF(K185="Tidak",0,"Blm Diisi")),IF(J185="A/B/C",IF(K185="A",1,IF(K185="B",0.5,IF(K185="C",0,"Blm Diisi"))),IF(J185="A/B/C/D",IF(K185="A",1,IF(K185="B",0.67,IF(K185="C",0.33,IF(K185="D",0,"Blm Diisi")))),IF(J185="A/B/C/D/E",IF(K185="A",1,IF(K185="B",0.75,IF(K185="C",0.5,IF(K185="D",0.25,IF(K185="E",0,"Blm Diisi"))))),IF(J185="%",IF(K185="","Blm Diisi",K185),IF(J185="Jumlah",IF(K185="","Blm Diisi",""),IF(J185="Rupiah",IF(K185="","Blm Diisi",""),IF(J185="","","-"))))))))</f>
        <v>0</v>
      </c>
      <c r="M185" s="28"/>
      <c r="O185" s="30"/>
      <c r="P185" s="30"/>
      <c r="Q185" s="35"/>
      <c r="R185"/>
      <c r="S185" s="36"/>
      <c r="T185" s="28" t="s">
        <v>592</v>
      </c>
      <c r="U185" s="28"/>
      <c r="V185" s="28" t="str">
        <f>IF(T185="Ya/Tidak",IF(U185="Ya",1,IF(U185="Tidak",0,"Blm Diisi")),IF(T185="A/B/C",IF(U185="A",1,IF(U185="B",0.5,IF(U185="C",0,"Blm Diisi"))),IF(T185="A/B/C/D",IF(U185="A",1,IF(U185="B",0.67,IF(U185="C",0.33,IF(U185="D",0,"Blm Diisi")))),IF(T185="A/B/C/D/E",IF(U185="A",1,IF(U185="B",0.75,IF(U185="C",0.5,IF(U185="D",0.25,IF(U185="E",0,"Blm Diisi"))))),IF(T185="%",IF(U185="","Blm Diisi",U185),IF(T185="Jumlah",IF(U185="","Blm Diisi",""),IF(T185="Rupiah",IF(U185="","Blm Diisi",""),IF(T185="","","-"))))))))</f>
        <v>0</v>
      </c>
      <c r="W185" s="28"/>
      <c r="X185" s="36"/>
      <c r="Y185"/>
      <c r="Z185"/>
      <c r="AA185" s="36"/>
      <c r="AB185" s="28" t="s">
        <v>592</v>
      </c>
      <c r="AC185" s="28"/>
      <c r="AD185" s="28" t="str">
        <f>IF(AB185="Ya/Tidak",IF(AC185="Ya",1,IF(AC185="Tidak",0,"Blm Diisi")),IF(AB185="A/B/C",IF(AC185="A",1,IF(AC185="B",0.5,IF(AC185="C",0,"Blm Diisi"))),IF(AB185="A/B/C/D",IF(AC185="A",1,IF(AC185="B",0.67,IF(AC185="C",0.33,IF(AC185="D",0,"Blm Diisi")))),IF(AB185="A/B/C/D/E",IF(AC185="A",1,IF(AC185="B",0.75,IF(AC185="C",0.5,IF(AC185="D",0.25,IF(AC185="E",0,"Blm Diisi"))))),IF(AB185="%",IF(AC185="","Blm Diisi",AC185),IF(AB185="Jumlah",IF(AC185="","Blm Diisi",""),IF(AB185="Rupiah",IF(AC185="","Blm Diisi",""),IF(AB185="","","-"))))))))</f>
        <v>0</v>
      </c>
      <c r="AE185" s="28"/>
      <c r="AF185" s="36"/>
      <c r="AG185"/>
      <c r="AH185"/>
      <c r="AI185" s="36"/>
      <c r="AJ185" s="28" t="s">
        <v>592</v>
      </c>
      <c r="AK185" s="28"/>
      <c r="AL185" s="28" t="str">
        <f>IF(AJ185="Ya/Tidak",IF(AK185="Ya",1,IF(AK185="Tidak",0,"Blm Diisi")),IF(AJ185="A/B/C",IF(AK185="A",1,IF(AK185="B",0.5,IF(AK185="C",0,"Blm Diisi"))),IF(AJ185="A/B/C/D",IF(AK185="A",1,IF(AK185="B",0.67,IF(AK185="C",0.33,IF(AK185="D",0,"Blm Diisi")))),IF(AJ185="A/B/C/D/E",IF(AK185="A",1,IF(AK185="B",0.75,IF(AK185="C",0.5,IF(AK185="D",0.25,IF(AK185="E",0,"Blm Diisi"))))),IF(AJ185="%",IF(AK185="","Blm Diisi",AK185),IF(AJ185="Jumlah",IF(AK185="","Blm Diisi",""),IF(AJ185="Rupiah",IF(AK185="","Blm Diisi",""),IF(AJ185="","","-"))))))))</f>
        <v>0</v>
      </c>
      <c r="AM185" s="28"/>
      <c r="AN185" s="36"/>
    </row>
    <row r="186" spans="1:40">
      <c r="A186" t="s">
        <v>590</v>
      </c>
      <c r="B186" s="23"/>
      <c r="C186" s="23"/>
      <c r="D186" s="23"/>
      <c r="E186" s="23"/>
      <c r="F186" s="23"/>
      <c r="G186" s="23" t="s">
        <v>742</v>
      </c>
      <c r="H186" s="28"/>
      <c r="I186" s="23"/>
      <c r="J186" s="28" t="s">
        <v>592</v>
      </c>
      <c r="K186" s="29">
        <v>28</v>
      </c>
      <c r="L186" s="28" t="str">
        <f>IF(J186="Ya/Tidak",IF(K186="Ya",1,IF(K186="Tidak",0,"Blm Diisi")),IF(J186="A/B/C",IF(K186="A",1,IF(K186="B",0.5,IF(K186="C",0,"Blm Diisi"))),IF(J186="A/B/C/D",IF(K186="A",1,IF(K186="B",0.67,IF(K186="C",0.33,IF(K186="D",0,"Blm Diisi")))),IF(J186="A/B/C/D/E",IF(K186="A",1,IF(K186="B",0.75,IF(K186="C",0.5,IF(K186="D",0.25,IF(K186="E",0,"Blm Diisi"))))),IF(J186="%",IF(K186="","Blm Diisi",K186),IF(J186="Jumlah",IF(K186="","Blm Diisi",""),IF(J186="Rupiah",IF(K186="","Blm Diisi",""),IF(J186="","","-"))))))))</f>
        <v>0</v>
      </c>
      <c r="M186" s="28"/>
      <c r="O186" s="30"/>
      <c r="P186" s="30"/>
      <c r="Q186" s="35"/>
      <c r="R186"/>
      <c r="S186" s="36"/>
      <c r="T186" s="28" t="s">
        <v>592</v>
      </c>
      <c r="U186" s="28"/>
      <c r="V186" s="28" t="str">
        <f>IF(T186="Ya/Tidak",IF(U186="Ya",1,IF(U186="Tidak",0,"Blm Diisi")),IF(T186="A/B/C",IF(U186="A",1,IF(U186="B",0.5,IF(U186="C",0,"Blm Diisi"))),IF(T186="A/B/C/D",IF(U186="A",1,IF(U186="B",0.67,IF(U186="C",0.33,IF(U186="D",0,"Blm Diisi")))),IF(T186="A/B/C/D/E",IF(U186="A",1,IF(U186="B",0.75,IF(U186="C",0.5,IF(U186="D",0.25,IF(U186="E",0,"Blm Diisi"))))),IF(T186="%",IF(U186="","Blm Diisi",U186),IF(T186="Jumlah",IF(U186="","Blm Diisi",""),IF(T186="Rupiah",IF(U186="","Blm Diisi",""),IF(T186="","","-"))))))))</f>
        <v>0</v>
      </c>
      <c r="W186" s="28"/>
      <c r="X186" s="36"/>
      <c r="Y186"/>
      <c r="Z186"/>
      <c r="AA186" s="36"/>
      <c r="AB186" s="28" t="s">
        <v>592</v>
      </c>
      <c r="AC186" s="28"/>
      <c r="AD186" s="28" t="str">
        <f>IF(AB186="Ya/Tidak",IF(AC186="Ya",1,IF(AC186="Tidak",0,"Blm Diisi")),IF(AB186="A/B/C",IF(AC186="A",1,IF(AC186="B",0.5,IF(AC186="C",0,"Blm Diisi"))),IF(AB186="A/B/C/D",IF(AC186="A",1,IF(AC186="B",0.67,IF(AC186="C",0.33,IF(AC186="D",0,"Blm Diisi")))),IF(AB186="A/B/C/D/E",IF(AC186="A",1,IF(AC186="B",0.75,IF(AC186="C",0.5,IF(AC186="D",0.25,IF(AC186="E",0,"Blm Diisi"))))),IF(AB186="%",IF(AC186="","Blm Diisi",AC186),IF(AB186="Jumlah",IF(AC186="","Blm Diisi",""),IF(AB186="Rupiah",IF(AC186="","Blm Diisi",""),IF(AB186="","","-"))))))))</f>
        <v>0</v>
      </c>
      <c r="AE186" s="28"/>
      <c r="AF186" s="36"/>
      <c r="AG186"/>
      <c r="AH186"/>
      <c r="AI186" s="36"/>
      <c r="AJ186" s="28" t="s">
        <v>592</v>
      </c>
      <c r="AK186" s="28"/>
      <c r="AL186" s="28" t="str">
        <f>IF(AJ186="Ya/Tidak",IF(AK186="Ya",1,IF(AK186="Tidak",0,"Blm Diisi")),IF(AJ186="A/B/C",IF(AK186="A",1,IF(AK186="B",0.5,IF(AK186="C",0,"Blm Diisi"))),IF(AJ186="A/B/C/D",IF(AK186="A",1,IF(AK186="B",0.67,IF(AK186="C",0.33,IF(AK186="D",0,"Blm Diisi")))),IF(AJ186="A/B/C/D/E",IF(AK186="A",1,IF(AK186="B",0.75,IF(AK186="C",0.5,IF(AK186="D",0.25,IF(AK186="E",0,"Blm Diisi"))))),IF(AJ186="%",IF(AK186="","Blm Diisi",AK186),IF(AJ186="Jumlah",IF(AK186="","Blm Diisi",""),IF(AJ186="Rupiah",IF(AK186="","Blm Diisi",""),IF(AJ186="","","-"))))))))</f>
        <v>0</v>
      </c>
      <c r="AM186" s="28"/>
      <c r="AN186" s="36"/>
    </row>
    <row r="187" spans="1:40">
      <c r="A187" t="s">
        <v>590</v>
      </c>
      <c r="B187" s="23"/>
      <c r="C187" s="23"/>
      <c r="D187" s="23"/>
      <c r="E187" s="23"/>
      <c r="F187" s="23"/>
      <c r="G187" s="23" t="s">
        <v>743</v>
      </c>
      <c r="H187" s="28"/>
      <c r="I187" s="23"/>
      <c r="J187" s="28" t="s">
        <v>592</v>
      </c>
      <c r="K187" s="29">
        <v>38</v>
      </c>
      <c r="L187" s="28" t="str">
        <f>IF(J187="Ya/Tidak",IF(K187="Ya",1,IF(K187="Tidak",0,"Blm Diisi")),IF(J187="A/B/C",IF(K187="A",1,IF(K187="B",0.5,IF(K187="C",0,"Blm Diisi"))),IF(J187="A/B/C/D",IF(K187="A",1,IF(K187="B",0.67,IF(K187="C",0.33,IF(K187="D",0,"Blm Diisi")))),IF(J187="A/B/C/D/E",IF(K187="A",1,IF(K187="B",0.75,IF(K187="C",0.5,IF(K187="D",0.25,IF(K187="E",0,"Blm Diisi"))))),IF(J187="%",IF(K187="","Blm Diisi",K187),IF(J187="Jumlah",IF(K187="","Blm Diisi",""),IF(J187="Rupiah",IF(K187="","Blm Diisi",""),IF(J187="","","-"))))))))</f>
        <v>0</v>
      </c>
      <c r="M187" s="28"/>
      <c r="O187" s="30"/>
      <c r="P187" s="30"/>
      <c r="Q187" s="35"/>
      <c r="R187"/>
      <c r="S187" s="36"/>
      <c r="T187" s="28" t="s">
        <v>592</v>
      </c>
      <c r="U187" s="28"/>
      <c r="V187" s="28" t="str">
        <f>IF(T187="Ya/Tidak",IF(U187="Ya",1,IF(U187="Tidak",0,"Blm Diisi")),IF(T187="A/B/C",IF(U187="A",1,IF(U187="B",0.5,IF(U187="C",0,"Blm Diisi"))),IF(T187="A/B/C/D",IF(U187="A",1,IF(U187="B",0.67,IF(U187="C",0.33,IF(U187="D",0,"Blm Diisi")))),IF(T187="A/B/C/D/E",IF(U187="A",1,IF(U187="B",0.75,IF(U187="C",0.5,IF(U187="D",0.25,IF(U187="E",0,"Blm Diisi"))))),IF(T187="%",IF(U187="","Blm Diisi",U187),IF(T187="Jumlah",IF(U187="","Blm Diisi",""),IF(T187="Rupiah",IF(U187="","Blm Diisi",""),IF(T187="","","-"))))))))</f>
        <v>0</v>
      </c>
      <c r="W187" s="28"/>
      <c r="X187" s="36"/>
      <c r="Y187"/>
      <c r="Z187"/>
      <c r="AA187" s="36"/>
      <c r="AB187" s="28" t="s">
        <v>592</v>
      </c>
      <c r="AC187" s="28"/>
      <c r="AD187" s="28" t="str">
        <f>IF(AB187="Ya/Tidak",IF(AC187="Ya",1,IF(AC187="Tidak",0,"Blm Diisi")),IF(AB187="A/B/C",IF(AC187="A",1,IF(AC187="B",0.5,IF(AC187="C",0,"Blm Diisi"))),IF(AB187="A/B/C/D",IF(AC187="A",1,IF(AC187="B",0.67,IF(AC187="C",0.33,IF(AC187="D",0,"Blm Diisi")))),IF(AB187="A/B/C/D/E",IF(AC187="A",1,IF(AC187="B",0.75,IF(AC187="C",0.5,IF(AC187="D",0.25,IF(AC187="E",0,"Blm Diisi"))))),IF(AB187="%",IF(AC187="","Blm Diisi",AC187),IF(AB187="Jumlah",IF(AC187="","Blm Diisi",""),IF(AB187="Rupiah",IF(AC187="","Blm Diisi",""),IF(AB187="","","-"))))))))</f>
        <v>0</v>
      </c>
      <c r="AE187" s="28"/>
      <c r="AF187" s="36"/>
      <c r="AG187"/>
      <c r="AH187"/>
      <c r="AI187" s="36"/>
      <c r="AJ187" s="28" t="s">
        <v>592</v>
      </c>
      <c r="AK187" s="28"/>
      <c r="AL187" s="28" t="str">
        <f>IF(AJ187="Ya/Tidak",IF(AK187="Ya",1,IF(AK187="Tidak",0,"Blm Diisi")),IF(AJ187="A/B/C",IF(AK187="A",1,IF(AK187="B",0.5,IF(AK187="C",0,"Blm Diisi"))),IF(AJ187="A/B/C/D",IF(AK187="A",1,IF(AK187="B",0.67,IF(AK187="C",0.33,IF(AK187="D",0,"Blm Diisi")))),IF(AJ187="A/B/C/D/E",IF(AK187="A",1,IF(AK187="B",0.75,IF(AK187="C",0.5,IF(AK187="D",0.25,IF(AK187="E",0,"Blm Diisi"))))),IF(AJ187="%",IF(AK187="","Blm Diisi",AK187),IF(AJ187="Jumlah",IF(AK187="","Blm Diisi",""),IF(AJ187="Rupiah",IF(AK187="","Blm Diisi",""),IF(AJ187="","","-"))))))))</f>
        <v>0</v>
      </c>
      <c r="AM187" s="28"/>
      <c r="AN187" s="36"/>
    </row>
    <row r="188" spans="1:40">
      <c r="A188" t="s">
        <v>590</v>
      </c>
      <c r="B188" s="23"/>
      <c r="C188" s="23"/>
      <c r="D188" s="23"/>
      <c r="E188" s="23"/>
      <c r="F188" s="23"/>
      <c r="G188" s="23" t="s">
        <v>732</v>
      </c>
      <c r="H188" s="28"/>
      <c r="I188" s="23"/>
      <c r="J188" s="28" t="s">
        <v>592</v>
      </c>
      <c r="K188" s="29">
        <v>175</v>
      </c>
      <c r="L188" s="28" t="str">
        <f>IF(J188="Ya/Tidak",IF(K188="Ya",1,IF(K188="Tidak",0,"Blm Diisi")),IF(J188="A/B/C",IF(K188="A",1,IF(K188="B",0.5,IF(K188="C",0,"Blm Diisi"))),IF(J188="A/B/C/D",IF(K188="A",1,IF(K188="B",0.67,IF(K188="C",0.33,IF(K188="D",0,"Blm Diisi")))),IF(J188="A/B/C/D/E",IF(K188="A",1,IF(K188="B",0.75,IF(K188="C",0.5,IF(K188="D",0.25,IF(K188="E",0,"Blm Diisi"))))),IF(J188="%",IF(K188="","Blm Diisi",K188),IF(J188="Jumlah",IF(K188="","Blm Diisi",""),IF(J188="Rupiah",IF(K188="","Blm Diisi",""),IF(J188="","","-"))))))))</f>
        <v>0</v>
      </c>
      <c r="M188" s="28"/>
      <c r="O188" s="30"/>
      <c r="P188" s="30"/>
      <c r="Q188" s="35"/>
      <c r="R188"/>
      <c r="S188" s="36"/>
      <c r="T188" s="28" t="s">
        <v>592</v>
      </c>
      <c r="U188" s="28"/>
      <c r="V188" s="28" t="str">
        <f>IF(T188="Ya/Tidak",IF(U188="Ya",1,IF(U188="Tidak",0,"Blm Diisi")),IF(T188="A/B/C",IF(U188="A",1,IF(U188="B",0.5,IF(U188="C",0,"Blm Diisi"))),IF(T188="A/B/C/D",IF(U188="A",1,IF(U188="B",0.67,IF(U188="C",0.33,IF(U188="D",0,"Blm Diisi")))),IF(T188="A/B/C/D/E",IF(U188="A",1,IF(U188="B",0.75,IF(U188="C",0.5,IF(U188="D",0.25,IF(U188="E",0,"Blm Diisi"))))),IF(T188="%",IF(U188="","Blm Diisi",U188),IF(T188="Jumlah",IF(U188="","Blm Diisi",""),IF(T188="Rupiah",IF(U188="","Blm Diisi",""),IF(T188="","","-"))))))))</f>
        <v>0</v>
      </c>
      <c r="W188" s="28"/>
      <c r="X188" s="36"/>
      <c r="Y188"/>
      <c r="Z188"/>
      <c r="AA188" s="36"/>
      <c r="AB188" s="28" t="s">
        <v>592</v>
      </c>
      <c r="AC188" s="28"/>
      <c r="AD188" s="28" t="str">
        <f>IF(AB188="Ya/Tidak",IF(AC188="Ya",1,IF(AC188="Tidak",0,"Blm Diisi")),IF(AB188="A/B/C",IF(AC188="A",1,IF(AC188="B",0.5,IF(AC188="C",0,"Blm Diisi"))),IF(AB188="A/B/C/D",IF(AC188="A",1,IF(AC188="B",0.67,IF(AC188="C",0.33,IF(AC188="D",0,"Blm Diisi")))),IF(AB188="A/B/C/D/E",IF(AC188="A",1,IF(AC188="B",0.75,IF(AC188="C",0.5,IF(AC188="D",0.25,IF(AC188="E",0,"Blm Diisi"))))),IF(AB188="%",IF(AC188="","Blm Diisi",AC188),IF(AB188="Jumlah",IF(AC188="","Blm Diisi",""),IF(AB188="Rupiah",IF(AC188="","Blm Diisi",""),IF(AB188="","","-"))))))))</f>
        <v>0</v>
      </c>
      <c r="AE188" s="28"/>
      <c r="AF188" s="36"/>
      <c r="AG188"/>
      <c r="AH188"/>
      <c r="AI188" s="36"/>
      <c r="AJ188" s="28" t="s">
        <v>592</v>
      </c>
      <c r="AK188" s="28"/>
      <c r="AL188" s="28" t="str">
        <f>IF(AJ188="Ya/Tidak",IF(AK188="Ya",1,IF(AK188="Tidak",0,"Blm Diisi")),IF(AJ188="A/B/C",IF(AK188="A",1,IF(AK188="B",0.5,IF(AK188="C",0,"Blm Diisi"))),IF(AJ188="A/B/C/D",IF(AK188="A",1,IF(AK188="B",0.67,IF(AK188="C",0.33,IF(AK188="D",0,"Blm Diisi")))),IF(AJ188="A/B/C/D/E",IF(AK188="A",1,IF(AK188="B",0.75,IF(AK188="C",0.5,IF(AK188="D",0.25,IF(AK188="E",0,"Blm Diisi"))))),IF(AJ188="%",IF(AK188="","Blm Diisi",AK188),IF(AJ188="Jumlah",IF(AK188="","Blm Diisi",""),IF(AJ188="Rupiah",IF(AK188="","Blm Diisi",""),IF(AJ188="","","-"))))))))</f>
        <v>0</v>
      </c>
      <c r="AM188" s="28"/>
      <c r="AN188" s="36"/>
    </row>
    <row r="189" spans="1:40">
      <c r="B189" s="21"/>
      <c r="C189" s="21"/>
      <c r="D189" s="21">
        <v>6.0</v>
      </c>
      <c r="E189" s="21" t="s">
        <v>461</v>
      </c>
      <c r="F189" s="21"/>
      <c r="G189" s="21"/>
      <c r="H189" s="26">
        <v>5</v>
      </c>
      <c r="I189" s="21"/>
      <c r="J189" s="26"/>
      <c r="K189" s="26"/>
      <c r="L189" s="26" t="str">
        <f>SUM(L190,L195)</f>
        <v>0</v>
      </c>
      <c r="M189" s="26" t="str">
        <f>L189/H189</f>
        <v>0</v>
      </c>
      <c r="N189" s="1"/>
      <c r="O189" s="21"/>
      <c r="P189" s="21"/>
      <c r="Q189" s="33"/>
      <c r="R189"/>
      <c r="S189" s="36">
        <v>5</v>
      </c>
      <c r="T189" s="28"/>
      <c r="U189" s="28"/>
      <c r="V189" s="28" t="str">
        <f>SUM(V190,V195)</f>
        <v>0</v>
      </c>
      <c r="W189" s="28" t="str">
        <f>V189/S189</f>
        <v>0</v>
      </c>
      <c r="X189" s="36"/>
      <c r="Y189"/>
      <c r="Z189"/>
      <c r="AA189" s="36">
        <v>5</v>
      </c>
      <c r="AB189" s="28"/>
      <c r="AC189" s="28"/>
      <c r="AD189" s="28" t="str">
        <f>SUM(AD190,AD195)</f>
        <v>0</v>
      </c>
      <c r="AE189" s="28" t="str">
        <f>AD189/AA189</f>
        <v>0</v>
      </c>
      <c r="AF189" s="36"/>
      <c r="AG189"/>
      <c r="AH189"/>
      <c r="AI189" s="36">
        <v>5</v>
      </c>
      <c r="AJ189" s="28"/>
      <c r="AK189" s="28"/>
      <c r="AL189" s="28" t="str">
        <f>SUM(AL190,AL195)</f>
        <v>0</v>
      </c>
      <c r="AM189" s="28" t="str">
        <f>AL189/AI189</f>
        <v>0</v>
      </c>
      <c r="AN189" s="36"/>
    </row>
    <row r="190" spans="1:40">
      <c r="B190" s="22"/>
      <c r="C190" s="22"/>
      <c r="D190" s="22"/>
      <c r="E190" s="22" t="s">
        <v>18</v>
      </c>
      <c r="F190" s="22" t="s">
        <v>744</v>
      </c>
      <c r="G190" s="22"/>
      <c r="H190" s="27">
        <v>2.5</v>
      </c>
      <c r="I190" s="22"/>
      <c r="J190" s="27"/>
      <c r="K190" s="27"/>
      <c r="L190" s="27" t="str">
        <f>AVERAGE(L191:L194)*H190</f>
        <v>0</v>
      </c>
      <c r="M190" s="27" t="str">
        <f>L190/H190</f>
        <v>0</v>
      </c>
      <c r="N190" s="1"/>
      <c r="O190" s="22"/>
      <c r="P190" s="22"/>
      <c r="Q190" s="34"/>
      <c r="R190"/>
      <c r="S190" s="36">
        <v>2.5</v>
      </c>
      <c r="T190" s="28"/>
      <c r="U190" s="28"/>
      <c r="V190" s="28" t="str">
        <f>AVERAGE(V191:V194)*S190</f>
        <v>0</v>
      </c>
      <c r="W190" s="28" t="str">
        <f>V190/S190</f>
        <v>0</v>
      </c>
      <c r="X190" s="36"/>
      <c r="Y190"/>
      <c r="Z190"/>
      <c r="AA190" s="36">
        <v>2.5</v>
      </c>
      <c r="AB190" s="28"/>
      <c r="AC190" s="28"/>
      <c r="AD190" s="28" t="str">
        <f>AVERAGE(AD191:AD194)*AA190</f>
        <v>0</v>
      </c>
      <c r="AE190" s="28" t="str">
        <f>AD190/AA190</f>
        <v>0</v>
      </c>
      <c r="AF190" s="36"/>
      <c r="AG190"/>
      <c r="AH190"/>
      <c r="AI190" s="36">
        <v>2.5</v>
      </c>
      <c r="AJ190" s="28"/>
      <c r="AK190" s="28"/>
      <c r="AL190" s="28" t="str">
        <f>AVERAGE(AL191:AL194)*AI190</f>
        <v>0</v>
      </c>
      <c r="AM190" s="28" t="str">
        <f>AL190/AI190</f>
        <v>0</v>
      </c>
      <c r="AN190" s="36"/>
    </row>
    <row r="191" spans="1:40">
      <c r="A191" t="s">
        <v>20</v>
      </c>
      <c r="B191" s="23"/>
      <c r="C191" s="23"/>
      <c r="D191" s="23"/>
      <c r="E191" s="23"/>
      <c r="F191" s="23" t="s">
        <v>21</v>
      </c>
      <c r="G191" s="23" t="s">
        <v>745</v>
      </c>
      <c r="H191" s="28"/>
      <c r="I191" s="23" t="s">
        <v>746</v>
      </c>
      <c r="J191" s="28" t="s">
        <v>63</v>
      </c>
      <c r="K191" s="29" t="s">
        <v>34</v>
      </c>
      <c r="L191" s="28" t="str">
        <f>IF(J191="Ya/Tidak",IF(K191="Ya",1,IF(K191="Tidak",0,"Blm Diisi")),IF(J191="A/B/C",IF(K191="A",1,IF(K191="B",0.5,IF(K191="C",0,"Blm Diisi"))),IF(J191="A/B/C/D",IF(K191="A",1,IF(K191="B",0.67,IF(K191="C",0.33,IF(K191="D",0,"Blm Diisi")))),IF(J191="A/B/C/D/E",IF(K191="A",1,IF(K191="B",0.75,IF(K191="C",0.5,IF(K191="D",0.25,IF(K191="E",0,"Blm Diisi"))))),IF(J191="%",IF(K191="","Blm Diisi",K191),IF(J191="Jumlah",IF(K191="","Blm Diisi",""),IF(J191="Rupiah",IF(K191="","Blm Diisi",""),IF(J191="","","-"))))))))</f>
        <v>0</v>
      </c>
      <c r="M191" s="28"/>
      <c r="O191" s="30" t="s">
        <v>747</v>
      </c>
      <c r="P191" s="30" t="s">
        <v>748</v>
      </c>
      <c r="Q191" s="35" t="s">
        <v>749</v>
      </c>
      <c r="R191"/>
      <c r="S191" s="36"/>
      <c r="T191" s="28" t="s">
        <v>63</v>
      </c>
      <c r="U191" s="28" t="s">
        <v>34</v>
      </c>
      <c r="V191" s="28" t="str">
        <f>IF(T191="Ya/Tidak",IF(U191="Ya",1,IF(U191="Tidak",0,"Blm Diisi")),IF(T191="A/B/C",IF(U191="A",1,IF(U191="B",0.5,IF(U191="C",0,"Blm Diisi"))),IF(T191="A/B/C/D",IF(U191="A",1,IF(U191="B",0.67,IF(U191="C",0.33,IF(U191="D",0,"Blm Diisi")))),IF(T191="A/B/C/D/E",IF(U191="A",1,IF(U191="B",0.75,IF(U191="C",0.5,IF(U191="D",0.25,IF(U191="E",0,"Blm Diisi"))))),IF(T191="%",IF(U191="","Blm Diisi",U191),IF(T191="Jumlah",IF(U191="","Blm Diisi",""),IF(T191="Rupiah",IF(U191="","Blm Diisi",""),IF(T191="","","-"))))))))</f>
        <v>0</v>
      </c>
      <c r="W191" s="28"/>
      <c r="X191" s="36" t="s">
        <v>702</v>
      </c>
      <c r="Y191"/>
      <c r="Z191"/>
      <c r="AA191" s="36"/>
      <c r="AB191" s="28" t="s">
        <v>63</v>
      </c>
      <c r="AC191" s="28"/>
      <c r="AD191" s="28" t="str">
        <f>IF(AB191="Ya/Tidak",IF(AC191="Ya",1,IF(AC191="Tidak",0,"Blm Diisi")),IF(AB191="A/B/C",IF(AC191="A",1,IF(AC191="B",0.5,IF(AC191="C",0,"Blm Diisi"))),IF(AB191="A/B/C/D",IF(AC191="A",1,IF(AC191="B",0.67,IF(AC191="C",0.33,IF(AC191="D",0,"Blm Diisi")))),IF(AB191="A/B/C/D/E",IF(AC191="A",1,IF(AC191="B",0.75,IF(AC191="C",0.5,IF(AC191="D",0.25,IF(AC191="E",0,"Blm Diisi"))))),IF(AB191="%",IF(AC191="","Blm Diisi",AC191),IF(AB191="Jumlah",IF(AC191="","Blm Diisi",""),IF(AB191="Rupiah",IF(AC191="","Blm Diisi",""),IF(AB191="","","-"))))))))</f>
        <v>0</v>
      </c>
      <c r="AE191" s="28"/>
      <c r="AF191" s="36"/>
      <c r="AG191"/>
      <c r="AH191"/>
      <c r="AI191" s="36"/>
      <c r="AJ191" s="28" t="s">
        <v>63</v>
      </c>
      <c r="AK191" s="28"/>
      <c r="AL191" s="28" t="str">
        <f>IF(AJ191="Ya/Tidak",IF(AK191="Ya",1,IF(AK191="Tidak",0,"Blm Diisi")),IF(AJ191="A/B/C",IF(AK191="A",1,IF(AK191="B",0.5,IF(AK191="C",0,"Blm Diisi"))),IF(AJ191="A/B/C/D",IF(AK191="A",1,IF(AK191="B",0.67,IF(AK191="C",0.33,IF(AK191="D",0,"Blm Diisi")))),IF(AJ191="A/B/C/D/E",IF(AK191="A",1,IF(AK191="B",0.75,IF(AK191="C",0.5,IF(AK191="D",0.25,IF(AK191="E",0,"Blm Diisi"))))),IF(AJ191="%",IF(AK191="","Blm Diisi",AK191),IF(AJ191="Jumlah",IF(AK191="","Blm Diisi",""),IF(AJ191="Rupiah",IF(AK191="","Blm Diisi",""),IF(AJ191="","","-"))))))))</f>
        <v>0</v>
      </c>
      <c r="AM191" s="28"/>
      <c r="AN191" s="36"/>
    </row>
    <row r="192" spans="1:40">
      <c r="A192" t="s">
        <v>582</v>
      </c>
      <c r="B192" s="23"/>
      <c r="C192" s="23"/>
      <c r="D192" s="23"/>
      <c r="E192" s="23"/>
      <c r="F192" s="23" t="s">
        <v>30</v>
      </c>
      <c r="G192" s="23" t="s">
        <v>750</v>
      </c>
      <c r="H192" s="28"/>
      <c r="I192" s="23" t="s">
        <v>751</v>
      </c>
      <c r="J192" s="28" t="s">
        <v>585</v>
      </c>
      <c r="K192" s="29" t="str">
        <f>IF(OR(K193="",K194=""),"Blm Diisi",IF(K194/K193&gt;1,1,K194/K193))</f>
        <v>0</v>
      </c>
      <c r="L192" s="28" t="str">
        <f>IF(J192="Ya/Tidak",IF(K192="Ya",1,IF(K192="Tidak",0,"Blm Diisi")),IF(J192="A/B/C",IF(K192="A",1,IF(K192="B",0.5,IF(K192="C",0,"Blm Diisi"))),IF(J192="A/B/C/D",IF(K192="A",1,IF(K192="B",0.67,IF(K192="C",0.33,IF(K192="D",0,"Blm Diisi")))),IF(J192="A/B/C/D/E",IF(K192="A",1,IF(K192="B",0.75,IF(K192="C",0.5,IF(K192="D",0.25,IF(K192="E",0,"Blm Diisi"))))),IF(J192="%",IF(K192="","Blm Diisi",K192),IF(J192="Jumlah",IF(K192="","Blm Diisi",""),IF(J192="Rupiah",IF(K192="","Blm Diisi",""),IF(J192="","","-"))))))))</f>
        <v>0</v>
      </c>
      <c r="M192" s="28"/>
      <c r="O192" s="30" t="s">
        <v>752</v>
      </c>
      <c r="P192" s="30" t="s">
        <v>753</v>
      </c>
      <c r="Q192" s="35" t="s">
        <v>754</v>
      </c>
      <c r="R192"/>
      <c r="S192" s="36"/>
      <c r="T192" s="28" t="s">
        <v>585</v>
      </c>
      <c r="U192" s="28" t="str">
        <f>IF(OR(U193="",U194=""),"Blm Diisi",IF(U194/U193&gt;1,1,U194/U193))</f>
        <v>0</v>
      </c>
      <c r="V192" s="28" t="str">
        <f>IF(T192="Ya/Tidak",IF(U192="Ya",1,IF(U192="Tidak",0,"Blm Diisi")),IF(T192="A/B/C",IF(U192="A",1,IF(U192="B",0.5,IF(U192="C",0,"Blm Diisi"))),IF(T192="A/B/C/D",IF(U192="A",1,IF(U192="B",0.67,IF(U192="C",0.33,IF(U192="D",0,"Blm Diisi")))),IF(T192="A/B/C/D/E",IF(U192="A",1,IF(U192="B",0.75,IF(U192="C",0.5,IF(U192="D",0.25,IF(U192="E",0,"Blm Diisi"))))),IF(T192="%",IF(U192="","Blm Diisi",U192),IF(T192="Jumlah",IF(U192="","Blm Diisi",""),IF(T192="Rupiah",IF(U192="","Blm Diisi",""),IF(T192="","","-"))))))))</f>
        <v>0</v>
      </c>
      <c r="W192" s="28"/>
      <c r="X192" s="36" t="s">
        <v>755</v>
      </c>
      <c r="Y192"/>
      <c r="Z192"/>
      <c r="AA192" s="36"/>
      <c r="AB192" s="28" t="s">
        <v>585</v>
      </c>
      <c r="AC192" s="28" t="str">
        <f>IF(OR(AC193="",AC194=""),"Blm Diisi",IF(AC194/AC193&gt;1,1,AC194/AC193))</f>
        <v>0</v>
      </c>
      <c r="AD192" s="28" t="str">
        <f>IF(AB192="Ya/Tidak",IF(AC192="Ya",1,IF(AC192="Tidak",0,"Blm Diisi")),IF(AB192="A/B/C",IF(AC192="A",1,IF(AC192="B",0.5,IF(AC192="C",0,"Blm Diisi"))),IF(AB192="A/B/C/D",IF(AC192="A",1,IF(AC192="B",0.67,IF(AC192="C",0.33,IF(AC192="D",0,"Blm Diisi")))),IF(AB192="A/B/C/D/E",IF(AC192="A",1,IF(AC192="B",0.75,IF(AC192="C",0.5,IF(AC192="D",0.25,IF(AC192="E",0,"Blm Diisi"))))),IF(AB192="%",IF(AC192="","Blm Diisi",AC192),IF(AB192="Jumlah",IF(AC192="","Blm Diisi",""),IF(AB192="Rupiah",IF(AC192="","Blm Diisi",""),IF(AB192="","","-"))))))))</f>
        <v>0</v>
      </c>
      <c r="AE192" s="28"/>
      <c r="AF192" s="36"/>
      <c r="AG192"/>
      <c r="AH192"/>
      <c r="AI192" s="36"/>
      <c r="AJ192" s="28" t="s">
        <v>585</v>
      </c>
      <c r="AK192" s="28" t="str">
        <f>IF(OR(AK193="",AK194=""),"Blm Diisi",IF(AK194/AK193&gt;1,1,AK194/AK193))</f>
        <v>0</v>
      </c>
      <c r="AL192" s="28" t="str">
        <f>IF(AJ192="Ya/Tidak",IF(AK192="Ya",1,IF(AK192="Tidak",0,"Blm Diisi")),IF(AJ192="A/B/C",IF(AK192="A",1,IF(AK192="B",0.5,IF(AK192="C",0,"Blm Diisi"))),IF(AJ192="A/B/C/D",IF(AK192="A",1,IF(AK192="B",0.67,IF(AK192="C",0.33,IF(AK192="D",0,"Blm Diisi")))),IF(AJ192="A/B/C/D/E",IF(AK192="A",1,IF(AK192="B",0.75,IF(AK192="C",0.5,IF(AK192="D",0.25,IF(AK192="E",0,"Blm Diisi"))))),IF(AJ192="%",IF(AK192="","Blm Diisi",AK192),IF(AJ192="Jumlah",IF(AK192="","Blm Diisi",""),IF(AJ192="Rupiah",IF(AK192="","Blm Diisi",""),IF(AJ192="","","-"))))))))</f>
        <v>0</v>
      </c>
      <c r="AM192" s="28"/>
      <c r="AN192" s="36"/>
    </row>
    <row r="193" spans="1:40">
      <c r="A193" t="s">
        <v>590</v>
      </c>
      <c r="B193" s="23"/>
      <c r="C193" s="23"/>
      <c r="D193" s="23"/>
      <c r="E193" s="23"/>
      <c r="F193" s="23"/>
      <c r="G193" s="23" t="s">
        <v>756</v>
      </c>
      <c r="H193" s="28"/>
      <c r="I193" s="23"/>
      <c r="J193" s="28" t="s">
        <v>592</v>
      </c>
      <c r="K193" s="29">
        <v>2283</v>
      </c>
      <c r="L193" s="28" t="str">
        <f>IF(J193="Ya/Tidak",IF(K193="Ya",1,IF(K193="Tidak",0,"Blm Diisi")),IF(J193="A/B/C",IF(K193="A",1,IF(K193="B",0.5,IF(K193="C",0,"Blm Diisi"))),IF(J193="A/B/C/D",IF(K193="A",1,IF(K193="B",0.67,IF(K193="C",0.33,IF(K193="D",0,"Blm Diisi")))),IF(J193="A/B/C/D/E",IF(K193="A",1,IF(K193="B",0.75,IF(K193="C",0.5,IF(K193="D",0.25,IF(K193="E",0,"Blm Diisi"))))),IF(J193="%",IF(K193="","Blm Diisi",K193),IF(J193="Jumlah",IF(K193="","Blm Diisi",""),IF(J193="Rupiah",IF(K193="","Blm Diisi",""),IF(J193="","","-"))))))))</f>
        <v>0</v>
      </c>
      <c r="M193" s="28"/>
      <c r="O193" s="30"/>
      <c r="P193" s="30"/>
      <c r="Q193" s="35"/>
      <c r="R193"/>
      <c r="S193" s="36"/>
      <c r="T193" s="28" t="s">
        <v>592</v>
      </c>
      <c r="U193" s="28">
        <v>2283</v>
      </c>
      <c r="V193" s="28" t="str">
        <f>IF(T193="Ya/Tidak",IF(U193="Ya",1,IF(U193="Tidak",0,"Blm Diisi")),IF(T193="A/B/C",IF(U193="A",1,IF(U193="B",0.5,IF(U193="C",0,"Blm Diisi"))),IF(T193="A/B/C/D",IF(U193="A",1,IF(U193="B",0.67,IF(U193="C",0.33,IF(U193="D",0,"Blm Diisi")))),IF(T193="A/B/C/D/E",IF(U193="A",1,IF(U193="B",0.75,IF(U193="C",0.5,IF(U193="D",0.25,IF(U193="E",0,"Blm Diisi"))))),IF(T193="%",IF(U193="","Blm Diisi",U193),IF(T193="Jumlah",IF(U193="","Blm Diisi",""),IF(T193="Rupiah",IF(U193="","Blm Diisi",""),IF(T193="","","-"))))))))</f>
        <v>0</v>
      </c>
      <c r="W193" s="28"/>
      <c r="X193" s="36"/>
      <c r="Y193"/>
      <c r="Z193"/>
      <c r="AA193" s="36"/>
      <c r="AB193" s="28" t="s">
        <v>592</v>
      </c>
      <c r="AC193" s="28"/>
      <c r="AD193" s="28" t="str">
        <f>IF(AB193="Ya/Tidak",IF(AC193="Ya",1,IF(AC193="Tidak",0,"Blm Diisi")),IF(AB193="A/B/C",IF(AC193="A",1,IF(AC193="B",0.5,IF(AC193="C",0,"Blm Diisi"))),IF(AB193="A/B/C/D",IF(AC193="A",1,IF(AC193="B",0.67,IF(AC193="C",0.33,IF(AC193="D",0,"Blm Diisi")))),IF(AB193="A/B/C/D/E",IF(AC193="A",1,IF(AC193="B",0.75,IF(AC193="C",0.5,IF(AC193="D",0.25,IF(AC193="E",0,"Blm Diisi"))))),IF(AB193="%",IF(AC193="","Blm Diisi",AC193),IF(AB193="Jumlah",IF(AC193="","Blm Diisi",""),IF(AB193="Rupiah",IF(AC193="","Blm Diisi",""),IF(AB193="","","-"))))))))</f>
        <v>0</v>
      </c>
      <c r="AE193" s="28"/>
      <c r="AF193" s="36"/>
      <c r="AG193"/>
      <c r="AH193"/>
      <c r="AI193" s="36"/>
      <c r="AJ193" s="28" t="s">
        <v>592</v>
      </c>
      <c r="AK193" s="28"/>
      <c r="AL193" s="28" t="str">
        <f>IF(AJ193="Ya/Tidak",IF(AK193="Ya",1,IF(AK193="Tidak",0,"Blm Diisi")),IF(AJ193="A/B/C",IF(AK193="A",1,IF(AK193="B",0.5,IF(AK193="C",0,"Blm Diisi"))),IF(AJ193="A/B/C/D",IF(AK193="A",1,IF(AK193="B",0.67,IF(AK193="C",0.33,IF(AK193="D",0,"Blm Diisi")))),IF(AJ193="A/B/C/D/E",IF(AK193="A",1,IF(AK193="B",0.75,IF(AK193="C",0.5,IF(AK193="D",0.25,IF(AK193="E",0,"Blm Diisi"))))),IF(AJ193="%",IF(AK193="","Blm Diisi",AK193),IF(AJ193="Jumlah",IF(AK193="","Blm Diisi",""),IF(AJ193="Rupiah",IF(AK193="","Blm Diisi",""),IF(AJ193="","","-"))))))))</f>
        <v>0</v>
      </c>
      <c r="AM193" s="28"/>
      <c r="AN193" s="36"/>
    </row>
    <row r="194" spans="1:40">
      <c r="A194" t="s">
        <v>590</v>
      </c>
      <c r="B194" s="23"/>
      <c r="C194" s="23"/>
      <c r="D194" s="23"/>
      <c r="E194" s="23"/>
      <c r="F194" s="23"/>
      <c r="G194" s="23" t="s">
        <v>757</v>
      </c>
      <c r="H194" s="28"/>
      <c r="I194" s="23"/>
      <c r="J194" s="28" t="s">
        <v>592</v>
      </c>
      <c r="K194" s="29">
        <v>2283</v>
      </c>
      <c r="L194" s="28" t="str">
        <f>IF(J194="Ya/Tidak",IF(K194="Ya",1,IF(K194="Tidak",0,"Blm Diisi")),IF(J194="A/B/C",IF(K194="A",1,IF(K194="B",0.5,IF(K194="C",0,"Blm Diisi"))),IF(J194="A/B/C/D",IF(K194="A",1,IF(K194="B",0.67,IF(K194="C",0.33,IF(K194="D",0,"Blm Diisi")))),IF(J194="A/B/C/D/E",IF(K194="A",1,IF(K194="B",0.75,IF(K194="C",0.5,IF(K194="D",0.25,IF(K194="E",0,"Blm Diisi"))))),IF(J194="%",IF(K194="","Blm Diisi",K194),IF(J194="Jumlah",IF(K194="","Blm Diisi",""),IF(J194="Rupiah",IF(K194="","Blm Diisi",""),IF(J194="","","-"))))))))</f>
        <v>0</v>
      </c>
      <c r="M194" s="28"/>
      <c r="O194" s="30"/>
      <c r="P194" s="30"/>
      <c r="Q194" s="35"/>
      <c r="R194"/>
      <c r="S194" s="36"/>
      <c r="T194" s="28" t="s">
        <v>592</v>
      </c>
      <c r="U194" s="28">
        <v>2283</v>
      </c>
      <c r="V194" s="28" t="str">
        <f>IF(T194="Ya/Tidak",IF(U194="Ya",1,IF(U194="Tidak",0,"Blm Diisi")),IF(T194="A/B/C",IF(U194="A",1,IF(U194="B",0.5,IF(U194="C",0,"Blm Diisi"))),IF(T194="A/B/C/D",IF(U194="A",1,IF(U194="B",0.67,IF(U194="C",0.33,IF(U194="D",0,"Blm Diisi")))),IF(T194="A/B/C/D/E",IF(U194="A",1,IF(U194="B",0.75,IF(U194="C",0.5,IF(U194="D",0.25,IF(U194="E",0,"Blm Diisi"))))),IF(T194="%",IF(U194="","Blm Diisi",U194),IF(T194="Jumlah",IF(U194="","Blm Diisi",""),IF(T194="Rupiah",IF(U194="","Blm Diisi",""),IF(T194="","","-"))))))))</f>
        <v>0</v>
      </c>
      <c r="W194" s="28"/>
      <c r="X194" s="36"/>
      <c r="Y194"/>
      <c r="Z194"/>
      <c r="AA194" s="36"/>
      <c r="AB194" s="28" t="s">
        <v>592</v>
      </c>
      <c r="AC194" s="28"/>
      <c r="AD194" s="28" t="str">
        <f>IF(AB194="Ya/Tidak",IF(AC194="Ya",1,IF(AC194="Tidak",0,"Blm Diisi")),IF(AB194="A/B/C",IF(AC194="A",1,IF(AC194="B",0.5,IF(AC194="C",0,"Blm Diisi"))),IF(AB194="A/B/C/D",IF(AC194="A",1,IF(AC194="B",0.67,IF(AC194="C",0.33,IF(AC194="D",0,"Blm Diisi")))),IF(AB194="A/B/C/D/E",IF(AC194="A",1,IF(AC194="B",0.75,IF(AC194="C",0.5,IF(AC194="D",0.25,IF(AC194="E",0,"Blm Diisi"))))),IF(AB194="%",IF(AC194="","Blm Diisi",AC194),IF(AB194="Jumlah",IF(AC194="","Blm Diisi",""),IF(AB194="Rupiah",IF(AC194="","Blm Diisi",""),IF(AB194="","","-"))))))))</f>
        <v>0</v>
      </c>
      <c r="AE194" s="28"/>
      <c r="AF194" s="36"/>
      <c r="AG194"/>
      <c r="AH194"/>
      <c r="AI194" s="36"/>
      <c r="AJ194" s="28" t="s">
        <v>592</v>
      </c>
      <c r="AK194" s="28"/>
      <c r="AL194" s="28" t="str">
        <f>IF(AJ194="Ya/Tidak",IF(AK194="Ya",1,IF(AK194="Tidak",0,"Blm Diisi")),IF(AJ194="A/B/C",IF(AK194="A",1,IF(AK194="B",0.5,IF(AK194="C",0,"Blm Diisi"))),IF(AJ194="A/B/C/D",IF(AK194="A",1,IF(AK194="B",0.67,IF(AK194="C",0.33,IF(AK194="D",0,"Blm Diisi")))),IF(AJ194="A/B/C/D/E",IF(AK194="A",1,IF(AK194="B",0.75,IF(AK194="C",0.5,IF(AK194="D",0.25,IF(AK194="E",0,"Blm Diisi"))))),IF(AJ194="%",IF(AK194="","Blm Diisi",AK194),IF(AJ194="Jumlah",IF(AK194="","Blm Diisi",""),IF(AJ194="Rupiah",IF(AK194="","Blm Diisi",""),IF(AJ194="","","-"))))))))</f>
        <v>0</v>
      </c>
      <c r="AM194" s="28"/>
      <c r="AN194" s="36"/>
    </row>
    <row r="195" spans="1:40">
      <c r="B195" s="22"/>
      <c r="C195" s="22"/>
      <c r="D195" s="22"/>
      <c r="E195" s="22" t="s">
        <v>40</v>
      </c>
      <c r="F195" s="22" t="s">
        <v>758</v>
      </c>
      <c r="G195" s="22"/>
      <c r="H195" s="27">
        <v>2.5</v>
      </c>
      <c r="I195" s="22"/>
      <c r="J195" s="27"/>
      <c r="K195" s="27"/>
      <c r="L195" s="27" t="str">
        <f>AVERAGE(L196)*H195</f>
        <v>0</v>
      </c>
      <c r="M195" s="27" t="str">
        <f>L195/H195</f>
        <v>0</v>
      </c>
      <c r="N195" s="1"/>
      <c r="O195" s="22"/>
      <c r="P195" s="22"/>
      <c r="Q195" s="34"/>
      <c r="R195"/>
      <c r="S195" s="36">
        <v>2.5</v>
      </c>
      <c r="T195" s="28"/>
      <c r="U195" s="28"/>
      <c r="V195" s="28" t="str">
        <f>AVERAGE(V196)*S195</f>
        <v>0</v>
      </c>
      <c r="W195" s="28" t="str">
        <f>V195/S195</f>
        <v>0</v>
      </c>
      <c r="X195" s="36"/>
      <c r="Y195"/>
      <c r="Z195"/>
      <c r="AA195" s="36">
        <v>2.5</v>
      </c>
      <c r="AB195" s="28"/>
      <c r="AC195" s="28"/>
      <c r="AD195" s="28" t="str">
        <f>AVERAGE(AD196)*AA195</f>
        <v>0</v>
      </c>
      <c r="AE195" s="28" t="str">
        <f>AD195/AA195</f>
        <v>0</v>
      </c>
      <c r="AF195" s="36"/>
      <c r="AG195"/>
      <c r="AH195"/>
      <c r="AI195" s="36">
        <v>2.5</v>
      </c>
      <c r="AJ195" s="28"/>
      <c r="AK195" s="28"/>
      <c r="AL195" s="28" t="str">
        <f>AVERAGE(AL196)*AI195</f>
        <v>0</v>
      </c>
      <c r="AM195" s="28" t="str">
        <f>AL195/AI195</f>
        <v>0</v>
      </c>
      <c r="AN195" s="36"/>
    </row>
    <row r="196" spans="1:40">
      <c r="A196" t="s">
        <v>20</v>
      </c>
      <c r="B196" s="23"/>
      <c r="C196" s="23"/>
      <c r="D196" s="23"/>
      <c r="E196" s="23"/>
      <c r="F196" s="23" t="s">
        <v>601</v>
      </c>
      <c r="G196" s="23" t="s">
        <v>759</v>
      </c>
      <c r="H196" s="28"/>
      <c r="I196" s="23" t="s">
        <v>760</v>
      </c>
      <c r="J196" s="28" t="s">
        <v>63</v>
      </c>
      <c r="K196" s="29" t="s">
        <v>34</v>
      </c>
      <c r="L196" s="28" t="str">
        <f>IF(J196="Ya/Tidak",IF(K196="Ya",1,IF(K196="Tidak",0,"Blm Diisi")),IF(J196="A/B/C",IF(K196="A",1,IF(K196="B",0.5,IF(K196="C",0,"Blm Diisi"))),IF(J196="A/B/C/D",IF(K196="A",1,IF(K196="B",0.67,IF(K196="C",0.33,IF(K196="D",0,"Blm Diisi")))),IF(J196="A/B/C/D/E",IF(K196="A",1,IF(K196="B",0.75,IF(K196="C",0.5,IF(K196="D",0.25,IF(K196="E",0,"Blm Diisi"))))),IF(J196="%",IF(K196="","Blm Diisi",K196),IF(J196="Jumlah",IF(K196="","Blm Diisi",""),IF(J196="Rupiah",IF(K196="","Blm Diisi",""),IF(J196="","","-"))))))))</f>
        <v>0</v>
      </c>
      <c r="M196" s="28"/>
      <c r="O196" s="30" t="s">
        <v>761</v>
      </c>
      <c r="P196" s="30" t="s">
        <v>762</v>
      </c>
      <c r="Q196" s="35" t="s">
        <v>763</v>
      </c>
      <c r="R196"/>
      <c r="S196" s="36"/>
      <c r="T196" s="28" t="s">
        <v>63</v>
      </c>
      <c r="U196" s="28" t="s">
        <v>38</v>
      </c>
      <c r="V196" s="28" t="str">
        <f>IF(T196="Ya/Tidak",IF(U196="Ya",1,IF(U196="Tidak",0,"Blm Diisi")),IF(T196="A/B/C",IF(U196="A",1,IF(U196="B",0.5,IF(U196="C",0,"Blm Diisi"))),IF(T196="A/B/C/D",IF(U196="A",1,IF(U196="B",0.67,IF(U196="C",0.33,IF(U196="D",0,"Blm Diisi")))),IF(T196="A/B/C/D/E",IF(U196="A",1,IF(U196="B",0.75,IF(U196="C",0.5,IF(U196="D",0.25,IF(U196="E",0,"Blm Diisi"))))),IF(T196="%",IF(U196="","Blm Diisi",U196),IF(T196="Jumlah",IF(U196="","Blm Diisi",""),IF(T196="Rupiah",IF(U196="","Blm Diisi",""),IF(T196="","","-"))))))))</f>
        <v>0</v>
      </c>
      <c r="W196" s="28"/>
      <c r="X196" s="36" t="s">
        <v>764</v>
      </c>
      <c r="Y196"/>
      <c r="Z196"/>
      <c r="AA196" s="36"/>
      <c r="AB196" s="28" t="s">
        <v>63</v>
      </c>
      <c r="AC196" s="28"/>
      <c r="AD196" s="28" t="str">
        <f>IF(AB196="Ya/Tidak",IF(AC196="Ya",1,IF(AC196="Tidak",0,"Blm Diisi")),IF(AB196="A/B/C",IF(AC196="A",1,IF(AC196="B",0.5,IF(AC196="C",0,"Blm Diisi"))),IF(AB196="A/B/C/D",IF(AC196="A",1,IF(AC196="B",0.67,IF(AC196="C",0.33,IF(AC196="D",0,"Blm Diisi")))),IF(AB196="A/B/C/D/E",IF(AC196="A",1,IF(AC196="B",0.75,IF(AC196="C",0.5,IF(AC196="D",0.25,IF(AC196="E",0,"Blm Diisi"))))),IF(AB196="%",IF(AC196="","Blm Diisi",AC196),IF(AB196="Jumlah",IF(AC196="","Blm Diisi",""),IF(AB196="Rupiah",IF(AC196="","Blm Diisi",""),IF(AB196="","","-"))))))))</f>
        <v>0</v>
      </c>
      <c r="AE196" s="28"/>
      <c r="AF196" s="36"/>
      <c r="AG196"/>
      <c r="AH196"/>
      <c r="AI196" s="36"/>
      <c r="AJ196" s="28" t="s">
        <v>63</v>
      </c>
      <c r="AK196" s="28"/>
      <c r="AL196" s="28" t="str">
        <f>IF(AJ196="Ya/Tidak",IF(AK196="Ya",1,IF(AK196="Tidak",0,"Blm Diisi")),IF(AJ196="A/B/C",IF(AK196="A",1,IF(AK196="B",0.5,IF(AK196="C",0,"Blm Diisi"))),IF(AJ196="A/B/C/D",IF(AK196="A",1,IF(AK196="B",0.67,IF(AK196="C",0.33,IF(AK196="D",0,"Blm Diisi")))),IF(AJ196="A/B/C/D/E",IF(AK196="A",1,IF(AK196="B",0.75,IF(AK196="C",0.5,IF(AK196="D",0.25,IF(AK196="E",0,"Blm Diisi"))))),IF(AJ196="%",IF(AK196="","Blm Diisi",AK196),IF(AJ196="Jumlah",IF(AK196="","Blm Diisi",""),IF(AJ196="Rupiah",IF(AK196="","Blm Diisi",""),IF(AJ196="","","-"))))))))</f>
        <v>0</v>
      </c>
      <c r="AM196" s="28"/>
      <c r="AN196" s="36"/>
    </row>
    <row r="197" spans="1:40">
      <c r="B197" s="50" t="s">
        <v>765</v>
      </c>
      <c r="C197" s="41"/>
      <c r="D197" s="41"/>
      <c r="E197" s="41"/>
      <c r="F197" s="41"/>
      <c r="G197" s="41"/>
      <c r="H197" s="43"/>
      <c r="I197" s="41"/>
      <c r="J197" s="43"/>
      <c r="K197" s="43"/>
      <c r="L197" s="50" t="str">
        <f>SUM(L4,L124)</f>
        <v>0</v>
      </c>
      <c r="M197" s="43"/>
      <c r="N197" s="45"/>
      <c r="O197" s="41"/>
      <c r="P197" s="41"/>
      <c r="Q197" s="46"/>
      <c r="R197" s="45"/>
      <c r="S197" s="48"/>
      <c r="T197" s="43"/>
      <c r="U197" s="43"/>
      <c r="V197" s="50" t="str">
        <f>SUM(V4,V124)</f>
        <v>0</v>
      </c>
      <c r="W197" s="43"/>
      <c r="X197" s="48"/>
      <c r="Y197" s="45"/>
      <c r="Z197" s="45"/>
      <c r="AA197" s="48"/>
      <c r="AB197" s="43"/>
      <c r="AC197" s="43"/>
      <c r="AD197" s="50" t="str">
        <f>SUM(AD4,AD124)</f>
        <v>0</v>
      </c>
      <c r="AE197" s="43"/>
      <c r="AF197" s="48"/>
      <c r="AG197" s="45"/>
      <c r="AH197" s="45"/>
      <c r="AI197" s="48"/>
      <c r="AJ197" s="43"/>
      <c r="AK197" s="43"/>
      <c r="AL197" s="50" t="str">
        <f>SUM(AL4,AL124)</f>
        <v>0</v>
      </c>
      <c r="AM197" s="43"/>
      <c r="AN197" s="48"/>
    </row>
    <row r="198" spans="1:40">
      <c r="B198" s="42"/>
      <c r="C198" s="42"/>
      <c r="D198" s="42"/>
      <c r="E198" s="42"/>
      <c r="F198" s="42"/>
      <c r="G198" s="42"/>
      <c r="H198" s="44"/>
      <c r="I198" s="42"/>
      <c r="J198" s="44"/>
      <c r="K198" s="44"/>
      <c r="L198" s="44"/>
      <c r="M198" s="44"/>
      <c r="N198" s="45"/>
      <c r="O198" s="42"/>
      <c r="P198" s="42"/>
      <c r="Q198" s="47"/>
      <c r="R198" s="45"/>
      <c r="S198" s="49"/>
      <c r="T198" s="44"/>
      <c r="U198" s="44"/>
      <c r="V198" s="44"/>
      <c r="W198" s="44"/>
      <c r="X198" s="49"/>
      <c r="Y198" s="45"/>
      <c r="Z198" s="45"/>
      <c r="AA198" s="49"/>
      <c r="AB198" s="44"/>
      <c r="AC198" s="44"/>
      <c r="AD198" s="44"/>
      <c r="AE198" s="44"/>
      <c r="AF198" s="49"/>
      <c r="AG198" s="45"/>
      <c r="AH198" s="45"/>
      <c r="AI198" s="49"/>
      <c r="AJ198" s="44"/>
      <c r="AK198" s="44"/>
      <c r="AL198" s="44"/>
      <c r="AM198" s="44"/>
      <c r="AN198" s="49"/>
    </row>
    <row r="199" spans="1:40">
      <c r="B199" s="51" t="s">
        <v>766</v>
      </c>
      <c r="C199" s="51" t="s">
        <v>767</v>
      </c>
      <c r="D199" s="41"/>
      <c r="E199" s="41"/>
      <c r="F199" s="41"/>
      <c r="G199" s="41"/>
      <c r="H199" s="52">
        <v>40</v>
      </c>
      <c r="I199" s="41"/>
      <c r="J199" s="43"/>
      <c r="K199" s="43"/>
      <c r="L199" s="52" t="str">
        <f>L205</f>
        <v>0</v>
      </c>
      <c r="M199" s="52" t="str">
        <f>L199/H199</f>
        <v>0</v>
      </c>
      <c r="N199" s="45"/>
      <c r="O199" s="42"/>
      <c r="P199" s="42"/>
      <c r="Q199" s="47"/>
      <c r="R199" s="45"/>
      <c r="S199" s="49"/>
      <c r="T199" s="44"/>
      <c r="U199" s="44"/>
      <c r="V199" s="44"/>
      <c r="W199" s="44"/>
      <c r="X199" s="49"/>
      <c r="Y199" s="45"/>
      <c r="Z199" s="45"/>
      <c r="AA199" s="49"/>
      <c r="AB199" s="44"/>
      <c r="AC199" s="44"/>
      <c r="AD199" s="44"/>
      <c r="AE199" s="44"/>
      <c r="AF199" s="49"/>
      <c r="AG199" s="45"/>
      <c r="AH199" s="45"/>
      <c r="AI199" s="49"/>
      <c r="AJ199" s="44"/>
      <c r="AK199" s="44"/>
      <c r="AL199" s="44"/>
      <c r="AM199" s="44"/>
      <c r="AN199" s="49"/>
    </row>
    <row r="200" spans="1:40">
      <c r="B200" s="41"/>
      <c r="C200" s="51" t="s">
        <v>15</v>
      </c>
      <c r="D200" s="51" t="s">
        <v>768</v>
      </c>
      <c r="E200" s="41"/>
      <c r="F200" s="41"/>
      <c r="G200" s="41"/>
      <c r="H200" s="52">
        <v>22.5</v>
      </c>
      <c r="I200" s="41"/>
      <c r="J200" s="43"/>
      <c r="K200" s="43"/>
      <c r="L200" s="52" t="str">
        <f>SUM(L201,L202)</f>
        <v>0</v>
      </c>
      <c r="M200" s="52" t="str">
        <f>L200/H200</f>
        <v>0</v>
      </c>
      <c r="N200" s="45"/>
      <c r="O200" s="42"/>
      <c r="P200" s="42"/>
      <c r="Q200" s="47"/>
      <c r="R200" s="45"/>
      <c r="S200" s="49"/>
      <c r="T200" s="44"/>
      <c r="U200" s="44"/>
      <c r="V200" s="44"/>
      <c r="W200" s="44"/>
      <c r="X200" s="49"/>
      <c r="Y200" s="45"/>
      <c r="Z200" s="45"/>
      <c r="AA200" s="49"/>
      <c r="AB200" s="44"/>
      <c r="AC200" s="44"/>
      <c r="AD200" s="44"/>
      <c r="AE200" s="44"/>
      <c r="AF200" s="49"/>
      <c r="AG200" s="45"/>
      <c r="AH200" s="45"/>
      <c r="AI200" s="49"/>
      <c r="AJ200" s="44"/>
      <c r="AK200" s="44"/>
      <c r="AL200" s="44"/>
      <c r="AM200" s="44"/>
      <c r="AN200" s="49"/>
    </row>
    <row r="201" spans="1:40">
      <c r="B201" s="41"/>
      <c r="C201" s="41"/>
      <c r="D201" s="41" t="s">
        <v>623</v>
      </c>
      <c r="E201" s="41" t="s">
        <v>769</v>
      </c>
      <c r="F201" s="41"/>
      <c r="G201" s="41"/>
      <c r="H201" s="52">
        <v>17.5</v>
      </c>
      <c r="I201" s="41" t="s">
        <v>770</v>
      </c>
      <c r="J201" s="43" t="s">
        <v>771</v>
      </c>
      <c r="K201" s="43">
        <v>3.87</v>
      </c>
      <c r="L201" s="43" t="str">
        <f>IF(K201="","Blm Diisi",K201/4)*H201</f>
        <v>0</v>
      </c>
      <c r="M201" s="43"/>
      <c r="N201" s="45"/>
      <c r="O201" s="42"/>
      <c r="P201" s="42"/>
      <c r="Q201" s="47"/>
      <c r="R201" s="45"/>
      <c r="S201" s="49"/>
      <c r="T201" s="44"/>
      <c r="U201" s="44"/>
      <c r="V201" s="44"/>
      <c r="W201" s="44"/>
      <c r="X201" s="49"/>
      <c r="Y201" s="45"/>
      <c r="Z201" s="45"/>
      <c r="AA201" s="49"/>
      <c r="AB201" s="44"/>
      <c r="AC201" s="44"/>
      <c r="AD201" s="44"/>
      <c r="AE201" s="44"/>
      <c r="AF201" s="49"/>
      <c r="AG201" s="45"/>
      <c r="AH201" s="45"/>
      <c r="AI201" s="49"/>
      <c r="AJ201" s="44"/>
      <c r="AK201" s="44"/>
      <c r="AL201" s="44"/>
      <c r="AM201" s="44"/>
      <c r="AN201" s="49"/>
    </row>
    <row r="202" spans="1:40">
      <c r="B202" s="41"/>
      <c r="C202" s="41"/>
      <c r="D202" s="41" t="s">
        <v>630</v>
      </c>
      <c r="E202" s="41" t="s">
        <v>772</v>
      </c>
      <c r="F202" s="41"/>
      <c r="G202" s="41"/>
      <c r="H202" s="52">
        <v>5</v>
      </c>
      <c r="I202" s="41" t="s">
        <v>773</v>
      </c>
      <c r="J202" s="43" t="s">
        <v>116</v>
      </c>
      <c r="K202" s="43" t="s">
        <v>38</v>
      </c>
      <c r="L202" s="43" t="str">
        <f>IF(J202="Ya/Tidak",IF(K202="Ya",1,IF(K202="Tidak",0,"Blm Diisi")),IF(J202="A/B/C",IF(K202="A",1,IF(K202="B",0.5,IF(K202="C",0,"Blm Diisi"))),IF(J202="A/B/C/D",IF(K202="A",1,IF(K202="B",0.67,IF(K202="C",0.33,IF(K202="D",0,"Blm Diisi")))),IF(J202="A/B/C/D/E",IF(K202="A",1,IF(K202="B",0.75,IF(K202="C",0.5,IF(K202="D",0.25,IF(K202="E",0,"Blm Diisi"))))),IF(J202="%",IF(K202="","Blm Diisi",K202),IF(J202="Jumlah",IF(K202="","Blm Diisi",""),IF(J202="Rupiah",IF(K202="","Blm Diisi",""),IF(J202="","","-"))))))))*H202</f>
        <v>0</v>
      </c>
      <c r="M202" s="43"/>
      <c r="N202" s="45"/>
      <c r="O202" s="42"/>
      <c r="P202" s="42" t="s">
        <v>774</v>
      </c>
      <c r="Q202" s="47"/>
      <c r="R202" s="45"/>
      <c r="S202" s="49"/>
      <c r="T202" s="44"/>
      <c r="U202" s="44"/>
      <c r="V202" s="44"/>
      <c r="W202" s="44"/>
      <c r="X202" s="49"/>
      <c r="Y202" s="45"/>
      <c r="Z202" s="45"/>
      <c r="AA202" s="49"/>
      <c r="AB202" s="44"/>
      <c r="AC202" s="44"/>
      <c r="AD202" s="44"/>
      <c r="AE202" s="44"/>
      <c r="AF202" s="49"/>
      <c r="AG202" s="45"/>
      <c r="AH202" s="45"/>
      <c r="AI202" s="49"/>
      <c r="AJ202" s="44"/>
      <c r="AK202" s="44"/>
      <c r="AL202" s="44"/>
      <c r="AM202" s="44"/>
      <c r="AN202" s="49"/>
    </row>
    <row r="203" spans="1:40">
      <c r="B203" s="41"/>
      <c r="C203" s="51" t="s">
        <v>579</v>
      </c>
      <c r="D203" s="51" t="s">
        <v>775</v>
      </c>
      <c r="E203" s="41"/>
      <c r="F203" s="41"/>
      <c r="G203" s="41"/>
      <c r="H203" s="52">
        <v>17.5</v>
      </c>
      <c r="I203" s="41"/>
      <c r="J203" s="43"/>
      <c r="K203" s="43"/>
      <c r="L203" s="52" t="str">
        <f>SUM(L204)</f>
        <v>0</v>
      </c>
      <c r="M203" s="52" t="str">
        <f>L203/H203</f>
        <v>0</v>
      </c>
      <c r="N203" s="45"/>
      <c r="O203" s="42"/>
      <c r="P203" s="42"/>
      <c r="Q203" s="47"/>
      <c r="R203" s="45"/>
      <c r="S203" s="49"/>
      <c r="T203" s="44"/>
      <c r="U203" s="44"/>
      <c r="V203" s="44"/>
      <c r="W203" s="44"/>
      <c r="X203" s="49"/>
      <c r="Y203" s="45"/>
      <c r="Z203" s="45"/>
      <c r="AA203" s="49"/>
      <c r="AB203" s="44"/>
      <c r="AC203" s="44"/>
      <c r="AD203" s="44"/>
      <c r="AE203" s="44"/>
      <c r="AF203" s="49"/>
      <c r="AG203" s="45"/>
      <c r="AH203" s="45"/>
      <c r="AI203" s="49"/>
      <c r="AJ203" s="44"/>
      <c r="AK203" s="44"/>
      <c r="AL203" s="44"/>
      <c r="AM203" s="44"/>
      <c r="AN203" s="49"/>
    </row>
    <row r="204" spans="1:40">
      <c r="B204" s="41"/>
      <c r="C204" s="41"/>
      <c r="D204" s="41" t="s">
        <v>623</v>
      </c>
      <c r="E204" s="41" t="s">
        <v>776</v>
      </c>
      <c r="F204" s="41"/>
      <c r="G204" s="41"/>
      <c r="H204" s="52">
        <v>17.5</v>
      </c>
      <c r="I204" s="41" t="s">
        <v>777</v>
      </c>
      <c r="J204" s="43" t="s">
        <v>771</v>
      </c>
      <c r="K204" s="43">
        <v>3.8888888888889</v>
      </c>
      <c r="L204" s="43" t="str">
        <f>IF(K204="","Blm Diisi",K204/4)*H204</f>
        <v>0</v>
      </c>
      <c r="M204" s="43"/>
      <c r="N204" s="45"/>
      <c r="O204" s="42"/>
      <c r="P204" s="42"/>
      <c r="Q204" s="47"/>
      <c r="R204" s="45"/>
      <c r="S204" s="49"/>
      <c r="T204" s="44"/>
      <c r="U204" s="44"/>
      <c r="V204" s="44"/>
      <c r="W204" s="44"/>
      <c r="X204" s="49"/>
      <c r="Y204" s="45"/>
      <c r="Z204" s="45"/>
      <c r="AA204" s="49"/>
      <c r="AB204" s="44"/>
      <c r="AC204" s="44"/>
      <c r="AD204" s="44"/>
      <c r="AE204" s="44"/>
      <c r="AF204" s="49"/>
      <c r="AG204" s="45"/>
      <c r="AH204" s="45"/>
      <c r="AI204" s="49"/>
      <c r="AJ204" s="44"/>
      <c r="AK204" s="44"/>
      <c r="AL204" s="44"/>
      <c r="AM204" s="44"/>
      <c r="AN204" s="49"/>
    </row>
    <row r="205" spans="1:40">
      <c r="B205" s="50" t="s">
        <v>778</v>
      </c>
      <c r="C205" s="41"/>
      <c r="D205" s="41"/>
      <c r="E205" s="41"/>
      <c r="F205" s="41"/>
      <c r="G205" s="41"/>
      <c r="H205" s="52"/>
      <c r="I205" s="41"/>
      <c r="J205" s="43"/>
      <c r="K205" s="43"/>
      <c r="L205" s="52" t="str">
        <f>SUM(L200,L203)</f>
        <v>0</v>
      </c>
      <c r="M205" s="43"/>
      <c r="N205" s="45"/>
      <c r="O205" s="42"/>
      <c r="P205" s="42"/>
      <c r="Q205" s="47"/>
      <c r="R205" s="45"/>
      <c r="S205" s="49"/>
      <c r="T205" s="44"/>
      <c r="U205" s="44"/>
      <c r="V205" s="44"/>
      <c r="W205" s="44"/>
      <c r="X205" s="49"/>
      <c r="Y205" s="45"/>
      <c r="Z205" s="45"/>
      <c r="AA205" s="49"/>
      <c r="AB205" s="44"/>
      <c r="AC205" s="44"/>
      <c r="AD205" s="44"/>
      <c r="AE205" s="44"/>
      <c r="AF205" s="49"/>
      <c r="AG205" s="45"/>
      <c r="AH205" s="45"/>
      <c r="AI205" s="49"/>
      <c r="AJ205" s="44"/>
      <c r="AK205" s="44"/>
      <c r="AL205" s="44"/>
      <c r="AM205" s="44"/>
      <c r="AN205" s="49"/>
    </row>
  </sheetData>
  <mergeCells>
    <mergeCell ref="B1:G1"/>
    <mergeCell ref="C3:G3"/>
    <mergeCell ref="D4:G4"/>
    <mergeCell ref="E5:G5"/>
    <mergeCell ref="E22:G22"/>
    <mergeCell ref="E35:G35"/>
    <mergeCell ref="E60:G60"/>
    <mergeCell ref="E74:G74"/>
    <mergeCell ref="E99:G99"/>
    <mergeCell ref="E125:G125"/>
    <mergeCell ref="E137:G137"/>
    <mergeCell ref="E147:G147"/>
    <mergeCell ref="E157:G157"/>
    <mergeCell ref="E166:G166"/>
    <mergeCell ref="E189:G189"/>
    <mergeCell ref="E201:G201"/>
    <mergeCell ref="E202:G202"/>
    <mergeCell ref="E204:G204"/>
    <mergeCell ref="F6:G6"/>
    <mergeCell ref="F9:G9"/>
    <mergeCell ref="F13:G13"/>
    <mergeCell ref="F17:G17"/>
    <mergeCell ref="F23:G23"/>
    <mergeCell ref="F27:G27"/>
    <mergeCell ref="F32:G32"/>
    <mergeCell ref="F36:G36"/>
    <mergeCell ref="F40:G40"/>
    <mergeCell ref="F44:G44"/>
    <mergeCell ref="F51:G51"/>
    <mergeCell ref="F56:G56"/>
    <mergeCell ref="F58:G58"/>
    <mergeCell ref="F61:G61"/>
    <mergeCell ref="F65:G65"/>
    <mergeCell ref="F75:G75"/>
    <mergeCell ref="F78:G78"/>
    <mergeCell ref="F83:G83"/>
    <mergeCell ref="F88:G88"/>
    <mergeCell ref="F93:G93"/>
    <mergeCell ref="F100:G100"/>
    <mergeCell ref="F105:G105"/>
    <mergeCell ref="F112:G112"/>
    <mergeCell ref="F116:G116"/>
    <mergeCell ref="F120:G120"/>
    <mergeCell ref="F126:G126"/>
    <mergeCell ref="F133:G133"/>
    <mergeCell ref="F135:G135"/>
    <mergeCell ref="F138:G138"/>
    <mergeCell ref="F140:G140"/>
    <mergeCell ref="F143:G143"/>
    <mergeCell ref="F148:G148"/>
    <mergeCell ref="F150:G150"/>
    <mergeCell ref="F152:G152"/>
    <mergeCell ref="F158:G158"/>
    <mergeCell ref="F162:G162"/>
    <mergeCell ref="F164:G164"/>
    <mergeCell ref="F167:G167"/>
    <mergeCell ref="F169:G169"/>
    <mergeCell ref="F174:G174"/>
    <mergeCell ref="F190:G190"/>
    <mergeCell ref="F195:G195"/>
    <mergeCell ref="D124:G124"/>
    <mergeCell ref="S1:X1"/>
    <mergeCell ref="AA1:AF1"/>
    <mergeCell ref="AI1:AN1"/>
    <mergeCell ref="B197:I197"/>
    <mergeCell ref="C199:G199"/>
    <mergeCell ref="D200:G200"/>
    <mergeCell ref="D203:G203"/>
    <mergeCell ref="B205:I205"/>
  </mergeCells>
  <hyperlinks>
    <hyperlink ref="Q7" r:id="rId_hyperlink_1" tooltip="Click here to access file" display="Click here to access file"/>
    <hyperlink ref="Q16" r:id="rId_hyperlink_2" tooltip="Click here to access file" display="Click here to access file"/>
    <hyperlink ref="Q18" r:id="rId_hyperlink_3" tooltip="Click here to access file" display="Click here to access file"/>
    <hyperlink ref="Q21" r:id="rId_hyperlink_4" tooltip="Click here to access file" display="Click here to access file"/>
    <hyperlink ref="Q91" r:id="rId_hyperlink_5" tooltip="Click here to access file" display="Click here to access file"/>
    <hyperlink ref="Q92" r:id="rId_hyperlink_6" tooltip="Click here to access file" display="Click here to access file"/>
    <hyperlink ref="Q130" r:id="rId_hyperlink_7" tooltip="Click here to access file" display="Click here to access file"/>
    <hyperlink ref="Q183" r:id="rId_hyperlink_8" tooltip="Click here to access file" display="Click here to access file"/>
  </hyperlink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2026-03-04T23:50:03+07:00</dcterms:created>
  <dcterms:modified xsi:type="dcterms:W3CDTF">2026-03-04T23:50:03+07:00</dcterms:modified>
  <dc:title>Untitled Spreadsheet</dc:title>
  <dc:description/>
  <dc:subject/>
  <cp:keywords/>
  <cp:category/>
</cp:coreProperties>
</file>